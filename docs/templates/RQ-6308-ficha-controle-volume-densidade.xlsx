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Volume pela Densidade (2)" sheetId="1" state="visible" r:id="rId1"/>
  </sheets>
  <definedNames>
    <definedName name="_xlnm.Print_Area" localSheetId="0">'Volume pela Densidade (2)'!$A$1:$Q$53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/mm/yy;@"/>
    <numFmt numFmtId="165" formatCode="h:mm;@"/>
    <numFmt numFmtId="166" formatCode="0.0000\ &quot;g/mL&quot;"/>
    <numFmt numFmtId="167" formatCode="0.00\ &quot;g&quot;"/>
    <numFmt numFmtId="168" formatCode="[$-F400]h:mm:ss\ AM/PM"/>
    <numFmt numFmtId="169" formatCode="0\ &quot;ml&quot;"/>
  </numFmts>
  <fonts count="12">
    <font>
      <name val="Arial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b val="1"/>
      <sz val="12"/>
    </font>
    <font>
      <name val="Arial"/>
      <family val="2"/>
      <b val="1"/>
      <sz val="9"/>
    </font>
    <font>
      <name val="Arial"/>
      <family val="2"/>
      <color rgb="FF000000"/>
      <sz val="7"/>
    </font>
    <font>
      <name val="Arial"/>
      <family val="2"/>
      <sz val="7"/>
    </font>
    <font>
      <name val="Arial"/>
      <family val="2"/>
      <sz val="8"/>
    </font>
    <font>
      <name val="Arial"/>
      <family val="2"/>
      <b val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11">
    <fill>
      <patternFill/>
    </fill>
    <fill>
      <patternFill patternType="gray125"/>
    </fill>
    <fill>
      <gradientFill type="linear" degree="90">
        <stop position="0">
          <color theme="0"/>
        </stop>
        <stop position="1">
          <color theme="0" tint="-0.2509842219306009"/>
        </stop>
      </gradient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auto="1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2">
    <xf numFmtId="0" fontId="0" fillId="0" borderId="0" pivotButton="0" quotePrefix="0" xfId="0"/>
    <xf numFmtId="2" fontId="2" fillId="4" borderId="28" applyAlignment="1" applyProtection="1" pivotButton="0" quotePrefix="0" xfId="0">
      <alignment horizontal="center" vertical="center"/>
      <protection locked="0" hidden="0"/>
    </xf>
    <xf numFmtId="2" fontId="2" fillId="4" borderId="5" applyAlignment="1" applyProtection="1" pivotButton="0" quotePrefix="0" xfId="0">
      <alignment horizontal="center" vertical="center"/>
      <protection locked="0" hidden="0"/>
    </xf>
    <xf numFmtId="2" fontId="2" fillId="4" borderId="26" applyAlignment="1" applyProtection="1" pivotButton="0" quotePrefix="0" xfId="0">
      <alignment horizontal="center" vertical="center"/>
      <protection locked="0" hidden="0"/>
    </xf>
    <xf numFmtId="0" fontId="9" fillId="6" borderId="18" applyAlignment="1" applyProtection="1" pivotButton="0" quotePrefix="0" xfId="0">
      <alignment horizontal="center" vertical="center" wrapText="1"/>
      <protection locked="0" hidden="0"/>
    </xf>
    <xf numFmtId="2" fontId="2" fillId="6" borderId="28" applyAlignment="1" applyProtection="1" pivotButton="0" quotePrefix="0" xfId="0">
      <alignment horizontal="center" vertical="center"/>
      <protection locked="0" hidden="0"/>
    </xf>
    <xf numFmtId="2" fontId="2" fillId="6" borderId="5" applyAlignment="1" applyProtection="1" pivotButton="0" quotePrefix="0" xfId="0">
      <alignment horizontal="center" vertical="center"/>
      <protection locked="0" hidden="0"/>
    </xf>
    <xf numFmtId="2" fontId="2" fillId="6" borderId="26" applyAlignment="1" applyProtection="1" pivotButton="0" quotePrefix="0" xfId="0">
      <alignment horizontal="center" vertical="center"/>
      <protection locked="0" hidden="0"/>
    </xf>
    <xf numFmtId="2" fontId="2" fillId="6" borderId="19" applyAlignment="1" applyProtection="1" pivotButton="0" quotePrefix="0" xfId="0">
      <alignment horizontal="center" vertical="center"/>
      <protection locked="0" hidden="0"/>
    </xf>
    <xf numFmtId="2" fontId="2" fillId="6" borderId="29" applyAlignment="1" applyProtection="1" pivotButton="0" quotePrefix="0" xfId="0">
      <alignment horizontal="center" vertical="center"/>
      <protection locked="0" hidden="0"/>
    </xf>
    <xf numFmtId="2" fontId="2" fillId="6" borderId="27" applyAlignment="1" applyProtection="1" pivotButton="0" quotePrefix="0" xfId="0">
      <alignment horizontal="center" vertical="center"/>
      <protection locked="0" hidden="0"/>
    </xf>
    <xf numFmtId="0" fontId="2" fillId="6" borderId="28" applyAlignment="1" applyProtection="1" pivotButton="0" quotePrefix="0" xfId="0">
      <alignment horizontal="center" vertical="center"/>
      <protection locked="0" hidden="0"/>
    </xf>
    <xf numFmtId="0" fontId="2" fillId="6" borderId="14" applyAlignment="1" applyProtection="1" pivotButton="0" quotePrefix="0" xfId="0">
      <alignment horizontal="center" vertical="center"/>
      <protection locked="0" hidden="0"/>
    </xf>
    <xf numFmtId="0" fontId="2" fillId="6" borderId="15" applyAlignment="1" applyProtection="1" pivotButton="0" quotePrefix="0" xfId="0">
      <alignment horizontal="center" vertical="center"/>
      <protection locked="0" hidden="0"/>
    </xf>
    <xf numFmtId="164" fontId="2" fillId="8" borderId="38" applyAlignment="1" applyProtection="1" pivotButton="0" quotePrefix="0" xfId="0">
      <alignment horizontal="center" vertical="center"/>
      <protection locked="0" hidden="0"/>
    </xf>
    <xf numFmtId="164" fontId="2" fillId="8" borderId="37" applyAlignment="1" applyProtection="1" pivotButton="0" quotePrefix="0" xfId="0">
      <alignment horizontal="center" vertical="center"/>
      <protection locked="0" hidden="0"/>
    </xf>
    <xf numFmtId="164" fontId="2" fillId="8" borderId="39" applyAlignment="1" applyProtection="1" pivotButton="0" quotePrefix="0" xfId="0">
      <alignment horizontal="center" vertical="center"/>
      <protection locked="0" hidden="0"/>
    </xf>
    <xf numFmtId="165" fontId="2" fillId="6" borderId="40" applyAlignment="1" applyProtection="1" pivotButton="0" quotePrefix="0" xfId="0">
      <alignment horizontal="center" vertical="center"/>
      <protection locked="0" hidden="0"/>
    </xf>
    <xf numFmtId="165" fontId="2" fillId="6" borderId="41" applyAlignment="1" applyProtection="1" pivotButton="0" quotePrefix="0" xfId="0">
      <alignment horizontal="center" vertical="center"/>
      <protection locked="0" hidden="0"/>
    </xf>
    <xf numFmtId="165" fontId="2" fillId="6" borderId="42" applyAlignment="1" applyProtection="1" pivotButton="0" quotePrefix="0" xfId="0">
      <alignment horizontal="center" vertical="center"/>
      <protection locked="0" hidden="0"/>
    </xf>
    <xf numFmtId="0" fontId="2" fillId="9" borderId="13" applyAlignment="1" applyProtection="1" pivotButton="0" quotePrefix="0" xfId="0">
      <alignment horizontal="center" vertical="center"/>
      <protection locked="0" hidden="0"/>
    </xf>
    <xf numFmtId="0" fontId="2" fillId="9" borderId="19" applyAlignment="1" applyProtection="1" pivotButton="0" quotePrefix="0" xfId="0">
      <alignment horizontal="center" vertical="center"/>
      <protection locked="0" hidden="0"/>
    </xf>
    <xf numFmtId="166" fontId="3" fillId="6" borderId="2" applyAlignment="1" applyProtection="1" pivotButton="0" quotePrefix="0" xfId="0">
      <alignment vertical="center"/>
      <protection locked="0" hidden="0"/>
    </xf>
    <xf numFmtId="166" fontId="3" fillId="6" borderId="3" applyAlignment="1" applyProtection="1" pivotButton="0" quotePrefix="0" xfId="0">
      <alignment vertical="center"/>
      <protection locked="0" hidden="0"/>
    </xf>
    <xf numFmtId="2" fontId="2" fillId="0" borderId="0" applyAlignment="1" applyProtection="1" pivotButton="0" quotePrefix="0" xfId="0">
      <alignment horizontal="center" vertical="center"/>
      <protection locked="0" hidden="0"/>
    </xf>
    <xf numFmtId="20" fontId="2" fillId="9" borderId="30" applyAlignment="1" applyProtection="1" pivotButton="0" quotePrefix="0" xfId="0">
      <alignment horizontal="center" vertical="center"/>
      <protection locked="0" hidden="0"/>
    </xf>
    <xf numFmtId="20" fontId="2" fillId="9" borderId="27" applyAlignment="1" applyProtection="1" pivotButton="0" quotePrefix="0" xfId="0">
      <alignment horizontal="center" vertical="center"/>
      <protection locked="0" hidden="0"/>
    </xf>
    <xf numFmtId="20" fontId="2" fillId="6" borderId="26" applyAlignment="1" applyProtection="1" pivotButton="0" quotePrefix="0" xfId="0">
      <alignment horizontal="center" vertical="center"/>
      <protection locked="0" hidden="0"/>
    </xf>
    <xf numFmtId="20" fontId="2" fillId="6" borderId="27" applyAlignment="1" applyProtection="1" pivotButton="0" quotePrefix="0" xfId="0">
      <alignment horizontal="center" vertical="center"/>
      <protection locked="0" hidden="0"/>
    </xf>
    <xf numFmtId="167" fontId="3" fillId="10" borderId="13" applyAlignment="1" applyProtection="1" pivotButton="0" quotePrefix="0" xfId="0">
      <alignment horizontal="center" vertical="center"/>
      <protection locked="0" hidden="0"/>
    </xf>
    <xf numFmtId="167" fontId="3" fillId="10" borderId="15" applyAlignment="1" applyProtection="1" pivotButton="0" quotePrefix="0" xfId="0">
      <alignment horizontal="center" vertical="center"/>
      <protection locked="0" hidden="0"/>
    </xf>
    <xf numFmtId="167" fontId="3" fillId="10" borderId="38" applyAlignment="1" applyProtection="1" pivotButton="0" quotePrefix="0" xfId="0">
      <alignment horizontal="center" vertical="center"/>
      <protection locked="0" hidden="0"/>
    </xf>
    <xf numFmtId="167" fontId="3" fillId="10" borderId="47" applyAlignment="1" applyProtection="1" pivotButton="0" quotePrefix="0" xfId="0">
      <alignment horizontal="center" vertical="center"/>
      <protection locked="0" hidden="0"/>
    </xf>
    <xf numFmtId="167" fontId="3" fillId="10" borderId="11" applyAlignment="1" applyProtection="1" pivotButton="0" quotePrefix="0" xfId="0">
      <alignment horizontal="center" vertical="center"/>
      <protection locked="0" hidden="0"/>
    </xf>
    <xf numFmtId="167" fontId="3" fillId="10" borderId="17" applyAlignment="1" applyProtection="1" pivotButton="0" quotePrefix="0" xfId="0">
      <alignment horizontal="center" vertical="center"/>
      <protection locked="0" hidden="0"/>
    </xf>
    <xf numFmtId="0" fontId="8" fillId="6" borderId="34" applyAlignment="1" applyProtection="1" pivotButton="0" quotePrefix="0" xfId="0">
      <alignment horizontal="center" vertical="center"/>
      <protection locked="0" hidden="0"/>
    </xf>
    <xf numFmtId="0" fontId="2" fillId="0" borderId="0" applyProtection="1" pivotButton="0" quotePrefix="0" xfId="0">
      <protection locked="0" hidden="0"/>
    </xf>
    <xf numFmtId="0" fontId="3" fillId="2" borderId="19" applyAlignment="1" applyProtection="1" pivotButton="0" quotePrefix="0" xfId="0">
      <alignment horizontal="center"/>
      <protection locked="0" hidden="0"/>
    </xf>
    <xf numFmtId="0" fontId="3" fillId="0" borderId="0" applyAlignment="1" applyProtection="1" pivotButton="0" quotePrefix="0" xfId="0">
      <alignment horizontal="right"/>
      <protection locked="0" hidden="0"/>
    </xf>
    <xf numFmtId="0" fontId="3" fillId="2" borderId="20" applyAlignment="1" applyProtection="1" pivotButton="0" quotePrefix="0" xfId="0">
      <alignment horizontal="center" vertical="center"/>
      <protection locked="0" hidden="0"/>
    </xf>
    <xf numFmtId="0" fontId="1" fillId="3" borderId="20" applyAlignment="1" applyProtection="1" pivotButton="0" quotePrefix="0" xfId="0">
      <alignment horizontal="center"/>
      <protection locked="0" hidden="0"/>
    </xf>
    <xf numFmtId="0" fontId="1" fillId="3" borderId="31" applyAlignment="1" applyProtection="1" pivotButton="0" quotePrefix="0" xfId="0">
      <alignment horizontal="center"/>
      <protection locked="0" hidden="0"/>
    </xf>
    <xf numFmtId="0" fontId="1" fillId="3" borderId="22" applyAlignment="1" applyProtection="1" pivotButton="0" quotePrefix="0" xfId="0">
      <alignment horizontal="center"/>
      <protection locked="0" hidden="0"/>
    </xf>
    <xf numFmtId="0" fontId="3" fillId="0" borderId="43" applyAlignment="1" applyProtection="1" pivotButton="0" quotePrefix="0" xfId="0">
      <alignment horizontal="right"/>
      <protection locked="0" hidden="0"/>
    </xf>
    <xf numFmtId="0" fontId="3" fillId="0" borderId="44" applyAlignment="1" applyProtection="1" pivotButton="0" quotePrefix="0" xfId="0">
      <alignment horizontal="right"/>
      <protection locked="0" hidden="0"/>
    </xf>
    <xf numFmtId="0" fontId="3" fillId="0" borderId="25" applyAlignment="1" applyProtection="1" pivotButton="0" quotePrefix="0" xfId="0">
      <alignment horizontal="right"/>
      <protection locked="0" hidden="0"/>
    </xf>
    <xf numFmtId="0" fontId="3" fillId="0" borderId="45" applyAlignment="1" applyProtection="1" pivotButton="0" quotePrefix="0" xfId="0">
      <alignment horizontal="right"/>
      <protection locked="0" hidden="0"/>
    </xf>
    <xf numFmtId="0" fontId="2" fillId="3" borderId="46" applyAlignment="1" applyProtection="1" pivotButton="0" quotePrefix="0" xfId="0">
      <alignment horizontal="right"/>
      <protection locked="0" hidden="0"/>
    </xf>
    <xf numFmtId="0" fontId="2" fillId="3" borderId="25" applyAlignment="1" applyProtection="1" pivotButton="0" quotePrefix="0" xfId="0">
      <alignment horizontal="right"/>
      <protection locked="0" hidden="0"/>
    </xf>
    <xf numFmtId="0" fontId="2" fillId="3" borderId="34" applyAlignment="1" applyProtection="1" pivotButton="0" quotePrefix="0" xfId="0">
      <alignment horizontal="right" vertical="center"/>
      <protection locked="0" hidden="0"/>
    </xf>
    <xf numFmtId="167" fontId="3" fillId="0" borderId="48" applyAlignment="1" applyProtection="1" pivotButton="0" quotePrefix="0" xfId="0">
      <alignment horizontal="center" vertical="center"/>
      <protection locked="0" hidden="1"/>
    </xf>
    <xf numFmtId="0" fontId="1" fillId="3" borderId="34" applyAlignment="1" applyProtection="1" pivotButton="0" quotePrefix="0" xfId="0">
      <alignment horizontal="right" vertical="center"/>
      <protection locked="0" hidden="0"/>
    </xf>
    <xf numFmtId="0" fontId="2" fillId="0" borderId="12" applyAlignment="1" applyProtection="1" pivotButton="0" quotePrefix="0" xfId="0">
      <alignment horizontal="center"/>
      <protection locked="0" hidden="0"/>
    </xf>
    <xf numFmtId="2" fontId="1" fillId="6" borderId="28" applyAlignment="1" applyProtection="1" pivotButton="0" quotePrefix="0" xfId="0">
      <alignment horizontal="center" vertical="center"/>
      <protection locked="0" hidden="0"/>
    </xf>
    <xf numFmtId="2" fontId="1" fillId="0" borderId="14" applyAlignment="1" applyProtection="1" pivotButton="0" quotePrefix="0" xfId="0">
      <alignment horizontal="center" vertical="center"/>
      <protection locked="0" hidden="0"/>
    </xf>
    <xf numFmtId="2" fontId="1" fillId="6" borderId="14" applyAlignment="1" applyProtection="1" pivotButton="0" quotePrefix="0" xfId="0">
      <alignment horizontal="center" vertical="center"/>
      <protection locked="0" hidden="0"/>
    </xf>
    <xf numFmtId="2" fontId="1" fillId="6" borderId="15" applyAlignment="1" applyProtection="1" pivotButton="0" quotePrefix="0" xfId="0">
      <alignment horizontal="center" vertical="center"/>
      <protection locked="0" hidden="0"/>
    </xf>
    <xf numFmtId="0" fontId="2" fillId="0" borderId="24" applyAlignment="1" applyProtection="1" pivotButton="0" quotePrefix="0" xfId="0">
      <alignment horizontal="center"/>
      <protection locked="0" hidden="0"/>
    </xf>
    <xf numFmtId="168" fontId="1" fillId="0" borderId="1" applyAlignment="1" applyProtection="1" pivotButton="0" quotePrefix="0" xfId="0">
      <alignment horizontal="center" vertical="center"/>
      <protection locked="0" hidden="0"/>
    </xf>
    <xf numFmtId="168" fontId="1" fillId="0" borderId="23" applyAlignment="1" applyProtection="1" pivotButton="0" quotePrefix="0" xfId="0">
      <alignment horizontal="center" vertical="center"/>
      <protection locked="0" hidden="0"/>
    </xf>
    <xf numFmtId="2" fontId="2" fillId="0" borderId="5" applyAlignment="1" applyProtection="1" pivotButton="0" quotePrefix="0" xfId="0">
      <alignment horizontal="center" vertical="center"/>
      <protection locked="0" hidden="0"/>
    </xf>
    <xf numFmtId="2" fontId="2" fillId="6" borderId="8" applyAlignment="1" applyProtection="1" pivotButton="0" quotePrefix="0" xfId="0">
      <alignment horizontal="center" vertical="center"/>
      <protection locked="0" hidden="0"/>
    </xf>
    <xf numFmtId="2" fontId="2" fillId="0" borderId="8" applyAlignment="1" applyProtection="1" pivotButton="0" quotePrefix="0" xfId="0">
      <alignment horizontal="center" vertical="center"/>
      <protection locked="0" hidden="0"/>
    </xf>
    <xf numFmtId="2" fontId="2" fillId="6" borderId="18" applyAlignment="1" applyProtection="1" pivotButton="0" quotePrefix="0" xfId="0">
      <alignment horizontal="center" vertical="center"/>
      <protection locked="0" hidden="0"/>
    </xf>
    <xf numFmtId="0" fontId="2" fillId="0" borderId="0" pivotButton="0" quotePrefix="0" xfId="0"/>
    <xf numFmtId="0" fontId="2" fillId="0" borderId="9" applyAlignment="1" applyProtection="1" pivotButton="0" quotePrefix="0" xfId="0">
      <alignment horizontal="center"/>
      <protection locked="0" hidden="0"/>
    </xf>
    <xf numFmtId="0" fontId="2" fillId="0" borderId="6" applyAlignment="1" applyProtection="1" pivotButton="0" quotePrefix="0" xfId="0">
      <alignment horizontal="center"/>
      <protection locked="0" hidden="0"/>
    </xf>
    <xf numFmtId="0" fontId="2" fillId="0" borderId="7" applyAlignment="1" applyProtection="1" pivotButton="0" quotePrefix="0" xfId="0">
      <alignment horizontal="center"/>
      <protection locked="0" hidden="0"/>
    </xf>
    <xf numFmtId="0" fontId="4" fillId="0" borderId="20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4" fillId="0" borderId="22" applyAlignment="1" applyProtection="1" pivotButton="0" quotePrefix="0" xfId="0">
      <alignment horizontal="center" vertical="center"/>
      <protection locked="0" hidden="0"/>
    </xf>
    <xf numFmtId="0" fontId="1" fillId="0" borderId="20" applyAlignment="1" applyProtection="1" pivotButton="0" quotePrefix="0" xfId="0">
      <alignment horizontal="center" vertical="center"/>
      <protection locked="0" hidden="0"/>
    </xf>
    <xf numFmtId="0" fontId="1" fillId="0" borderId="21" applyAlignment="1" applyProtection="1" pivotButton="0" quotePrefix="0" xfId="0">
      <alignment horizontal="center" vertical="center"/>
      <protection locked="0" hidden="0"/>
    </xf>
    <xf numFmtId="0" fontId="1" fillId="0" borderId="22" applyAlignment="1" applyProtection="1" pivotButton="0" quotePrefix="0" xfId="0">
      <alignment horizontal="center" vertical="center"/>
      <protection locked="0" hidden="0"/>
    </xf>
    <xf numFmtId="0" fontId="4" fillId="0" borderId="20" applyAlignment="1" applyProtection="1" pivotButton="0" quotePrefix="0" xfId="0">
      <alignment horizontal="center" vertical="center" wrapText="1"/>
      <protection locked="0" hidden="0"/>
    </xf>
    <xf numFmtId="0" fontId="4" fillId="0" borderId="25" applyAlignment="1" applyProtection="1" pivotButton="0" quotePrefix="0" xfId="0">
      <alignment horizontal="center" vertical="center"/>
      <protection locked="0" hidden="0"/>
    </xf>
    <xf numFmtId="0" fontId="4" fillId="0" borderId="12" applyAlignment="1" applyProtection="1" pivotButton="0" quotePrefix="0" xfId="0">
      <alignment horizontal="center" vertical="center"/>
      <protection locked="0" hidden="0"/>
    </xf>
    <xf numFmtId="0" fontId="4" fillId="0" borderId="27" applyAlignment="1" applyProtection="1" pivotButton="0" quotePrefix="0" xfId="0">
      <alignment horizontal="center" vertical="center"/>
      <protection locked="0" hidden="0"/>
    </xf>
    <xf numFmtId="0" fontId="1" fillId="0" borderId="20" applyAlignment="1" applyProtection="1" pivotButton="0" quotePrefix="0" xfId="0">
      <alignment horizontal="center" vertical="center" wrapText="1"/>
      <protection locked="0" hidden="0"/>
    </xf>
    <xf numFmtId="0" fontId="1" fillId="0" borderId="21" applyAlignment="1" applyProtection="1" pivotButton="0" quotePrefix="0" xfId="0">
      <alignment horizontal="center" vertical="center" wrapText="1"/>
      <protection locked="0" hidden="0"/>
    </xf>
    <xf numFmtId="0" fontId="1" fillId="0" borderId="22" applyAlignment="1" applyProtection="1" pivotButton="0" quotePrefix="0" xfId="0">
      <alignment horizontal="center" vertical="center" wrapText="1"/>
      <protection locked="0" hidden="0"/>
    </xf>
    <xf numFmtId="0" fontId="1" fillId="0" borderId="34" applyAlignment="1" applyProtection="1" pivotButton="0" quotePrefix="0" xfId="0">
      <alignment horizontal="center" vertical="center"/>
      <protection locked="0" hidden="0"/>
    </xf>
    <xf numFmtId="0" fontId="1" fillId="0" borderId="24" applyAlignment="1" applyProtection="1" pivotButton="0" quotePrefix="0" xfId="0">
      <alignment horizontal="center" vertical="center"/>
      <protection locked="0" hidden="0"/>
    </xf>
    <xf numFmtId="0" fontId="1" fillId="0" borderId="23" applyAlignment="1" applyProtection="1" pivotButton="0" quotePrefix="0" xfId="0">
      <alignment horizontal="center" vertical="center"/>
      <protection locked="0" hidden="0"/>
    </xf>
    <xf numFmtId="0" fontId="3" fillId="2" borderId="34" applyAlignment="1" applyProtection="1" pivotButton="0" quotePrefix="0" xfId="0">
      <alignment horizontal="center"/>
      <protection locked="0" hidden="0"/>
    </xf>
    <xf numFmtId="0" fontId="3" fillId="2" borderId="23" applyAlignment="1" applyProtection="1" pivotButton="0" quotePrefix="0" xfId="0">
      <alignment horizontal="center"/>
      <protection locked="0" hidden="0"/>
    </xf>
    <xf numFmtId="0" fontId="3" fillId="5" borderId="13" applyAlignment="1" applyProtection="1" pivotButton="0" quotePrefix="0" xfId="0">
      <alignment horizontal="center"/>
      <protection locked="0" hidden="0"/>
    </xf>
    <xf numFmtId="0" fontId="3" fillId="5" borderId="14" applyAlignment="1" applyProtection="1" pivotButton="0" quotePrefix="0" xfId="0">
      <alignment horizontal="center"/>
      <protection locked="0" hidden="0"/>
    </xf>
    <xf numFmtId="0" fontId="3" fillId="5" borderId="15" applyAlignment="1" applyProtection="1" pivotButton="0" quotePrefix="0" xfId="0">
      <alignment horizontal="center"/>
      <protection locked="0" hidden="0"/>
    </xf>
    <xf numFmtId="0" fontId="3" fillId="2" borderId="13" applyAlignment="1" applyProtection="1" pivotButton="0" quotePrefix="0" xfId="0">
      <alignment horizontal="center"/>
      <protection locked="0" hidden="0"/>
    </xf>
    <xf numFmtId="0" fontId="3" fillId="2" borderId="14" applyAlignment="1" applyProtection="1" pivotButton="0" quotePrefix="0" xfId="0">
      <alignment horizontal="center"/>
      <protection locked="0" hidden="0"/>
    </xf>
    <xf numFmtId="0" fontId="3" fillId="2" borderId="15" applyAlignment="1" applyProtection="1" pivotButton="0" quotePrefix="0" xfId="0">
      <alignment horizontal="center"/>
      <protection locked="0" hidden="0"/>
    </xf>
    <xf numFmtId="0" fontId="3" fillId="2" borderId="20" applyAlignment="1" applyProtection="1" pivotButton="0" quotePrefix="0" xfId="0">
      <alignment horizontal="center"/>
      <protection locked="0" hidden="0"/>
    </xf>
    <xf numFmtId="0" fontId="3" fillId="2" borderId="22" applyAlignment="1" applyProtection="1" pivotButton="0" quotePrefix="0" xfId="0">
      <alignment horizontal="center"/>
      <protection locked="0" hidden="0"/>
    </xf>
    <xf numFmtId="0" fontId="3" fillId="0" borderId="25" applyAlignment="1" applyProtection="1" pivotButton="0" quotePrefix="0" xfId="0">
      <alignment horizontal="center" vertical="center"/>
      <protection locked="0" hidden="0"/>
    </xf>
    <xf numFmtId="0" fontId="3" fillId="0" borderId="12" applyAlignment="1" applyProtection="1" pivotButton="0" quotePrefix="0" xfId="0">
      <alignment horizontal="center" vertical="center"/>
      <protection locked="0" hidden="0"/>
    </xf>
    <xf numFmtId="0" fontId="3" fillId="0" borderId="27" applyAlignment="1" applyProtection="1" pivotButton="0" quotePrefix="0" xfId="0">
      <alignment horizontal="center" vertical="center"/>
      <protection locked="0" hidden="0"/>
    </xf>
    <xf numFmtId="169" fontId="3" fillId="0" borderId="11" applyAlignment="1" applyProtection="1" pivotButton="0" quotePrefix="0" xfId="0">
      <alignment horizontal="center" vertical="center"/>
      <protection locked="0" hidden="1"/>
    </xf>
    <xf numFmtId="169" fontId="3" fillId="0" borderId="16" applyAlignment="1" applyProtection="1" pivotButton="0" quotePrefix="0" xfId="0">
      <alignment horizontal="center" vertical="center"/>
      <protection locked="0" hidden="1"/>
    </xf>
    <xf numFmtId="169" fontId="3" fillId="0" borderId="17" applyAlignment="1" applyProtection="1" pivotButton="0" quotePrefix="0" xfId="0">
      <alignment horizontal="center" vertical="center"/>
      <protection locked="0" hidden="1"/>
    </xf>
    <xf numFmtId="2" fontId="3" fillId="0" borderId="11" applyAlignment="1" applyProtection="1" pivotButton="0" quotePrefix="0" xfId="0">
      <alignment horizontal="center"/>
      <protection locked="0" hidden="0"/>
    </xf>
    <xf numFmtId="2" fontId="3" fillId="0" borderId="16" applyAlignment="1" applyProtection="1" pivotButton="0" quotePrefix="0" xfId="0">
      <alignment horizontal="center"/>
      <protection locked="0" hidden="0"/>
    </xf>
    <xf numFmtId="2" fontId="3" fillId="0" borderId="17" applyAlignment="1" applyProtection="1" pivotButton="0" quotePrefix="0" xfId="0">
      <alignment horizontal="center"/>
      <protection locked="0" hidden="0"/>
    </xf>
    <xf numFmtId="0" fontId="8" fillId="6" borderId="34" applyAlignment="1" applyProtection="1" pivotButton="0" quotePrefix="0" xfId="0">
      <alignment horizontal="center" vertical="center"/>
      <protection locked="0" hidden="0"/>
    </xf>
    <xf numFmtId="0" fontId="8" fillId="6" borderId="23" applyAlignment="1" applyProtection="1" pivotButton="0" quotePrefix="0" xfId="0">
      <alignment horizontal="center" vertical="center"/>
      <protection locked="0" hidden="0"/>
    </xf>
    <xf numFmtId="0" fontId="6" fillId="7" borderId="0" applyAlignment="1" applyProtection="1" pivotButton="0" quotePrefix="0" xfId="0">
      <alignment horizontal="left" vertical="center" wrapText="1"/>
      <protection locked="0" hidden="0"/>
    </xf>
    <xf numFmtId="0" fontId="7" fillId="7" borderId="0" applyAlignment="1" applyProtection="1" pivotButton="0" quotePrefix="0" xfId="0">
      <alignment horizontal="left"/>
      <protection locked="0" hidden="0"/>
    </xf>
    <xf numFmtId="0" fontId="3" fillId="3" borderId="10" applyAlignment="1" applyProtection="1" pivotButton="0" quotePrefix="0" xfId="0">
      <alignment horizontal="right"/>
      <protection locked="0" hidden="0"/>
    </xf>
    <xf numFmtId="0" fontId="3" fillId="3" borderId="2" applyAlignment="1" applyProtection="1" pivotButton="0" quotePrefix="0" xfId="0">
      <alignment horizontal="right"/>
      <protection locked="0" hidden="0"/>
    </xf>
    <xf numFmtId="166" fontId="3" fillId="0" borderId="2" applyAlignment="1" applyProtection="1" pivotButton="0" quotePrefix="0" xfId="0">
      <alignment horizontal="center" vertical="center"/>
      <protection locked="0" hidden="1"/>
    </xf>
    <xf numFmtId="166" fontId="3" fillId="0" borderId="3" applyAlignment="1" applyProtection="1" pivotButton="0" quotePrefix="0" xfId="0">
      <alignment horizontal="center" vertical="center"/>
      <protection locked="0" hidden="1"/>
    </xf>
    <xf numFmtId="2" fontId="3" fillId="0" borderId="2" applyAlignment="1" applyProtection="1" pivotButton="0" quotePrefix="0" xfId="0">
      <alignment horizontal="center"/>
      <protection locked="0" hidden="0"/>
    </xf>
    <xf numFmtId="0" fontId="3" fillId="0" borderId="3" applyAlignment="1" applyProtection="1" pivotButton="0" quotePrefix="0" xfId="0">
      <alignment horizontal="center"/>
      <protection locked="0" hidden="0"/>
    </xf>
    <xf numFmtId="0" fontId="1" fillId="0" borderId="34" applyAlignment="1" applyProtection="1" pivotButton="0" quotePrefix="0" xfId="0">
      <alignment horizontal="center"/>
      <protection locked="0" hidden="0"/>
    </xf>
    <xf numFmtId="0" fontId="1" fillId="0" borderId="23" applyAlignment="1" applyProtection="1" pivotButton="0" quotePrefix="0" xfId="0">
      <alignment horizontal="center"/>
      <protection locked="0" hidden="0"/>
    </xf>
    <xf numFmtId="0" fontId="3" fillId="3" borderId="31" applyAlignment="1" applyProtection="1" pivotButton="0" quotePrefix="0" xfId="0">
      <alignment horizontal="right" wrapText="1"/>
      <protection locked="0" hidden="0"/>
    </xf>
    <xf numFmtId="0" fontId="3" fillId="3" borderId="32" applyAlignment="1" applyProtection="1" pivotButton="0" quotePrefix="0" xfId="0">
      <alignment horizontal="right" wrapText="1"/>
      <protection locked="0" hidden="0"/>
    </xf>
    <xf numFmtId="167" fontId="3" fillId="0" borderId="32" applyAlignment="1" applyProtection="1" pivotButton="0" quotePrefix="0" xfId="0">
      <alignment horizontal="center" vertical="center"/>
      <protection locked="0" hidden="1"/>
    </xf>
    <xf numFmtId="167" fontId="3" fillId="0" borderId="33" applyAlignment="1" applyProtection="1" pivotButton="0" quotePrefix="0" xfId="0">
      <alignment horizontal="center" vertical="center"/>
      <protection locked="0" hidden="1"/>
    </xf>
    <xf numFmtId="0" fontId="1" fillId="0" borderId="10" applyAlignment="1" applyProtection="1" pivotButton="0" quotePrefix="0" xfId="0">
      <alignment horizontal="center"/>
      <protection locked="0" hidden="0"/>
    </xf>
    <xf numFmtId="0" fontId="1" fillId="0" borderId="2" applyAlignment="1" applyProtection="1" pivotButton="0" quotePrefix="0" xfId="0">
      <alignment horizontal="center"/>
      <protection locked="0" hidden="0"/>
    </xf>
    <xf numFmtId="0" fontId="1" fillId="0" borderId="49" applyAlignment="1" applyProtection="1" pivotButton="0" quotePrefix="0" xfId="0">
      <alignment horizontal="center"/>
      <protection locked="0" hidden="0"/>
    </xf>
    <xf numFmtId="0" fontId="1" fillId="0" borderId="3" applyAlignment="1" applyProtection="1" pivotButton="0" quotePrefix="0" xfId="0">
      <alignment horizontal="center"/>
      <protection locked="0" hidden="0"/>
    </xf>
    <xf numFmtId="0" fontId="1" fillId="3" borderId="34" applyAlignment="1" applyProtection="1" pivotButton="0" quotePrefix="0" xfId="0">
      <alignment horizontal="center"/>
      <protection locked="0" hidden="0"/>
    </xf>
    <xf numFmtId="0" fontId="1" fillId="3" borderId="24" applyAlignment="1" applyProtection="1" pivotButton="0" quotePrefix="0" xfId="0">
      <alignment horizontal="center"/>
      <protection locked="0" hidden="0"/>
    </xf>
    <xf numFmtId="0" fontId="1" fillId="3" borderId="23" applyAlignment="1" applyProtection="1" pivotButton="0" quotePrefix="0" xfId="0">
      <alignment horizontal="center"/>
      <protection locked="0" hidden="0"/>
    </xf>
    <xf numFmtId="0" fontId="2" fillId="0" borderId="20" applyAlignment="1" applyProtection="1" pivotButton="0" quotePrefix="0" xfId="0">
      <alignment horizontal="left" vertical="center"/>
      <protection locked="0" hidden="0"/>
    </xf>
    <xf numFmtId="0" fontId="2" fillId="0" borderId="21" applyAlignment="1" applyProtection="1" pivotButton="0" quotePrefix="0" xfId="0">
      <alignment horizontal="left" vertical="center"/>
      <protection locked="0" hidden="0"/>
    </xf>
    <xf numFmtId="0" fontId="2" fillId="0" borderId="45" applyAlignment="1" applyProtection="1" pivotButton="0" quotePrefix="0" xfId="0">
      <alignment horizontal="left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2" fillId="0" borderId="21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12" applyAlignment="1" applyProtection="1" pivotButton="0" quotePrefix="0" xfId="0">
      <alignment horizontal="center"/>
      <protection locked="0" hidden="0"/>
    </xf>
    <xf numFmtId="0" fontId="11" fillId="3" borderId="34" applyAlignment="1" applyProtection="1" pivotButton="0" quotePrefix="0" xfId="0">
      <alignment horizontal="right" vertical="center"/>
      <protection locked="0" hidden="0"/>
    </xf>
    <xf numFmtId="0" fontId="11" fillId="3" borderId="23" applyAlignment="1" applyProtection="1" pivotButton="0" quotePrefix="0" xfId="0">
      <alignment horizontal="right" vertical="center"/>
      <protection locked="0" hidden="0"/>
    </xf>
    <xf numFmtId="2" fontId="3" fillId="0" borderId="3" applyAlignment="1" applyProtection="1" pivotButton="0" quotePrefix="0" xfId="0">
      <alignment horizontal="center"/>
      <protection locked="0" hidden="0"/>
    </xf>
    <xf numFmtId="0" fontId="5" fillId="3" borderId="4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center"/>
      <protection locked="0" hidden="0"/>
    </xf>
    <xf numFmtId="0" fontId="5" fillId="3" borderId="35" applyAlignment="1" applyProtection="1" pivotButton="0" quotePrefix="0" xfId="0">
      <alignment horizontal="right"/>
      <protection locked="0" hidden="0"/>
    </xf>
    <xf numFmtId="0" fontId="5" fillId="3" borderId="36" applyAlignment="1" applyProtection="1" pivotButton="0" quotePrefix="0" xfId="0">
      <alignment horizontal="right"/>
      <protection locked="0" hidden="0"/>
    </xf>
    <xf numFmtId="0" fontId="5" fillId="3" borderId="37" applyAlignment="1" applyProtection="1" pivotButton="0" quotePrefix="0" xfId="0">
      <alignment horizontal="right"/>
      <protection locked="0" hidden="0"/>
    </xf>
    <xf numFmtId="0" fontId="2" fillId="0" borderId="35" applyAlignment="1" applyProtection="1" pivotButton="0" quotePrefix="0" xfId="0">
      <alignment horizontal="center"/>
      <protection locked="0" hidden="0"/>
    </xf>
    <xf numFmtId="0" fontId="2" fillId="0" borderId="36" applyAlignment="1" applyProtection="1" pivotButton="0" quotePrefix="0" xfId="0">
      <alignment horizontal="center"/>
      <protection locked="0" hidden="0"/>
    </xf>
    <xf numFmtId="0" fontId="2" fillId="0" borderId="37" applyAlignment="1" applyProtection="1" pivotButton="0" quotePrefix="0" xfId="0">
      <alignment horizontal="center"/>
      <protection locked="0" hidden="0"/>
    </xf>
    <xf numFmtId="0" fontId="10" fillId="3" borderId="43" applyAlignment="1" applyProtection="1" pivotButton="0" quotePrefix="0" xfId="0">
      <alignment horizontal="center" vertical="center"/>
      <protection locked="0" hidden="0"/>
    </xf>
    <xf numFmtId="0" fontId="10" fillId="3" borderId="19" applyAlignment="1" applyProtection="1" pivotButton="0" quotePrefix="0" xfId="0">
      <alignment horizontal="center" vertical="center"/>
      <protection locked="0" hidden="0"/>
    </xf>
    <xf numFmtId="0" fontId="10" fillId="3" borderId="44" applyAlignment="1" applyProtection="1" pivotButton="0" quotePrefix="0" xfId="0">
      <alignment horizontal="center" vertical="center"/>
      <protection locked="0" hidden="0"/>
    </xf>
    <xf numFmtId="0" fontId="10" fillId="3" borderId="39" applyAlignment="1" applyProtection="1" pivotButton="0" quotePrefix="0" xfId="0">
      <alignment horizontal="center" vertical="center"/>
      <protection locked="0" hidden="0"/>
    </xf>
    <xf numFmtId="0" fontId="10" fillId="3" borderId="50" applyAlignment="1" applyProtection="1" pivotButton="0" quotePrefix="0" xfId="0">
      <alignment horizontal="center" vertical="center"/>
      <protection locked="0" hidden="0"/>
    </xf>
    <xf numFmtId="0" fontId="10" fillId="3" borderId="18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horizontal="center"/>
      <protection locked="0" hidden="0"/>
    </xf>
    <xf numFmtId="0" fontId="4" fillId="0" borderId="57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1" fillId="0" borderId="57" applyAlignment="1" applyProtection="1" pivotButton="0" quotePrefix="0" xfId="0">
      <alignment horizontal="center" vertical="center"/>
      <protection locked="0" hidden="0"/>
    </xf>
    <xf numFmtId="0" fontId="0" fillId="0" borderId="60" applyProtection="1" pivotButton="0" quotePrefix="0" xfId="0">
      <protection locked="0" hidden="0"/>
    </xf>
    <xf numFmtId="0" fontId="4" fillId="0" borderId="54" applyAlignment="1" applyProtection="1" pivotButton="0" quotePrefix="0" xfId="0">
      <alignment horizontal="center" vertical="center" wrapText="1"/>
      <protection locked="0" hidden="0"/>
    </xf>
    <xf numFmtId="0" fontId="1" fillId="0" borderId="57" applyAlignment="1" applyProtection="1" pivotButton="0" quotePrefix="0" xfId="0">
      <alignment horizontal="center" vertical="center" wrapText="1"/>
      <protection locked="0" hidden="0"/>
    </xf>
    <xf numFmtId="0" fontId="0" fillId="0" borderId="6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1" fillId="0" borderId="54" applyAlignment="1" applyProtection="1" pivotButton="0" quotePrefix="0" xfId="0">
      <alignment horizontal="center" vertical="center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3" fillId="2" borderId="57" applyAlignment="1" applyProtection="1" pivotButton="0" quotePrefix="0" xfId="0">
      <alignment horizontal="center"/>
      <protection locked="0" hidden="0"/>
    </xf>
    <xf numFmtId="0" fontId="3" fillId="0" borderId="58" applyAlignment="1" applyProtection="1" pivotButton="0" quotePrefix="0" xfId="0">
      <alignment horizontal="center" vertical="center"/>
      <protection locked="0" hidden="0"/>
    </xf>
    <xf numFmtId="169" fontId="3" fillId="0" borderId="11" applyAlignment="1" applyProtection="1" pivotButton="0" quotePrefix="0" xfId="0">
      <alignment horizontal="center" vertical="center"/>
      <protection locked="0" hidden="1"/>
    </xf>
    <xf numFmtId="0" fontId="0" fillId="0" borderId="59" applyProtection="1" pivotButton="0" quotePrefix="0" xfId="0">
      <protection locked="0" hidden="1"/>
    </xf>
    <xf numFmtId="0" fontId="0" fillId="0" borderId="8" applyProtection="1" pivotButton="0" quotePrefix="0" xfId="0">
      <protection locked="0" hidden="1"/>
    </xf>
    <xf numFmtId="0" fontId="0" fillId="0" borderId="5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8" fillId="6" borderId="54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166" fontId="3" fillId="0" borderId="2" applyAlignment="1" applyProtection="1" pivotButton="0" quotePrefix="0" xfId="0">
      <alignment horizontal="center" vertical="center"/>
      <protection locked="0" hidden="1"/>
    </xf>
    <xf numFmtId="0" fontId="0" fillId="0" borderId="1" applyProtection="1" pivotButton="0" quotePrefix="0" xfId="0">
      <protection locked="0" hidden="1"/>
    </xf>
    <xf numFmtId="0" fontId="3" fillId="2" borderId="54" applyAlignment="1" applyProtection="1" pivotButton="0" quotePrefix="0" xfId="0">
      <alignment horizontal="center"/>
      <protection locked="0" hidden="0"/>
    </xf>
    <xf numFmtId="0" fontId="0" fillId="0" borderId="55" applyProtection="1" pivotButton="0" quotePrefix="0" xfId="0">
      <protection locked="0" hidden="0"/>
    </xf>
    <xf numFmtId="167" fontId="3" fillId="0" borderId="32" applyAlignment="1" applyProtection="1" pivotButton="0" quotePrefix="0" xfId="0">
      <alignment horizontal="center" vertical="center"/>
      <protection locked="0" hidden="1"/>
    </xf>
    <xf numFmtId="0" fontId="0" fillId="0" borderId="55" applyProtection="1" pivotButton="0" quotePrefix="0" xfId="0">
      <protection locked="0" hidden="1"/>
    </xf>
    <xf numFmtId="0" fontId="1" fillId="3" borderId="54" applyAlignment="1" applyProtection="1" pivotButton="0" quotePrefix="0" xfId="0">
      <alignment horizontal="center"/>
      <protection locked="0" hidden="0"/>
    </xf>
    <xf numFmtId="164" fontId="2" fillId="8" borderId="38" applyAlignment="1" applyProtection="1" pivotButton="0" quotePrefix="0" xfId="0">
      <alignment horizontal="center" vertical="center"/>
      <protection locked="0" hidden="0"/>
    </xf>
    <xf numFmtId="164" fontId="2" fillId="8" borderId="39" applyAlignment="1" applyProtection="1" pivotButton="0" quotePrefix="0" xfId="0">
      <alignment horizontal="center" vertical="center"/>
      <protection locked="0" hidden="0"/>
    </xf>
    <xf numFmtId="164" fontId="2" fillId="8" borderId="37" applyAlignment="1" applyProtection="1" pivotButton="0" quotePrefix="0" xfId="0">
      <alignment horizontal="center" vertical="center"/>
      <protection locked="0" hidden="0"/>
    </xf>
    <xf numFmtId="165" fontId="2" fillId="6" borderId="40" applyAlignment="1" applyProtection="1" pivotButton="0" quotePrefix="0" xfId="0">
      <alignment horizontal="center" vertical="center"/>
      <protection locked="0" hidden="0"/>
    </xf>
    <xf numFmtId="165" fontId="2" fillId="6" borderId="42" applyAlignment="1" applyProtection="1" pivotButton="0" quotePrefix="0" xfId="0">
      <alignment horizontal="center" vertical="center"/>
      <protection locked="0" hidden="0"/>
    </xf>
    <xf numFmtId="165" fontId="2" fillId="6" borderId="41" applyAlignment="1" applyProtection="1" pivotButton="0" quotePrefix="0" xfId="0">
      <alignment horizontal="center" vertical="center"/>
      <protection locked="0" hidden="0"/>
    </xf>
    <xf numFmtId="167" fontId="3" fillId="10" borderId="13" applyAlignment="1" applyProtection="1" pivotButton="0" quotePrefix="0" xfId="0">
      <alignment horizontal="center" vertical="center"/>
      <protection locked="0" hidden="0"/>
    </xf>
    <xf numFmtId="167" fontId="3" fillId="10" borderId="15" applyAlignment="1" applyProtection="1" pivotButton="0" quotePrefix="0" xfId="0">
      <alignment horizontal="center" vertical="center"/>
      <protection locked="0" hidden="0"/>
    </xf>
    <xf numFmtId="167" fontId="3" fillId="10" borderId="38" applyAlignment="1" applyProtection="1" pivotButton="0" quotePrefix="0" xfId="0">
      <alignment horizontal="center" vertical="center"/>
      <protection locked="0" hidden="0"/>
    </xf>
    <xf numFmtId="167" fontId="3" fillId="10" borderId="47" applyAlignment="1" applyProtection="1" pivotButton="0" quotePrefix="0" xfId="0">
      <alignment horizontal="center" vertical="center"/>
      <protection locked="0" hidden="0"/>
    </xf>
    <xf numFmtId="167" fontId="3" fillId="10" borderId="11" applyAlignment="1" applyProtection="1" pivotButton="0" quotePrefix="0" xfId="0">
      <alignment horizontal="center" vertical="center"/>
      <protection locked="0" hidden="0"/>
    </xf>
    <xf numFmtId="167" fontId="3" fillId="10" borderId="17" applyAlignment="1" applyProtection="1" pivotButton="0" quotePrefix="0" xfId="0">
      <alignment horizontal="center" vertical="center"/>
      <protection locked="0" hidden="0"/>
    </xf>
    <xf numFmtId="167" fontId="3" fillId="0" borderId="48" applyAlignment="1" applyProtection="1" pivotButton="0" quotePrefix="0" xfId="0">
      <alignment horizontal="center" vertical="center"/>
      <protection locked="0" hidden="1"/>
    </xf>
    <xf numFmtId="166" fontId="3" fillId="6" borderId="2" applyAlignment="1" applyProtection="1" pivotButton="0" quotePrefix="0" xfId="0">
      <alignment vertical="center"/>
      <protection locked="0" hidden="0"/>
    </xf>
    <xf numFmtId="166" fontId="3" fillId="6" borderId="3" applyAlignment="1" applyProtection="1" pivotButton="0" quotePrefix="0" xfId="0">
      <alignment vertical="center"/>
      <protection locked="0" hidden="0"/>
    </xf>
    <xf numFmtId="0" fontId="0" fillId="0" borderId="45" applyProtection="1" pivotButton="0" quotePrefix="0" xfId="0">
      <protection locked="0" hidden="0"/>
    </xf>
    <xf numFmtId="0" fontId="11" fillId="3" borderId="54" applyAlignment="1" applyProtection="1" pivotButton="0" quotePrefix="0" xfId="0">
      <alignment horizontal="right" vertical="center"/>
      <protection locked="0" hidden="0"/>
    </xf>
    <xf numFmtId="0" fontId="1" fillId="0" borderId="54" applyAlignment="1" applyProtection="1" pivotButton="0" quotePrefix="0" xfId="0">
      <alignment horizontal="center"/>
      <protection locked="0" hidden="0"/>
    </xf>
    <xf numFmtId="168" fontId="1" fillId="0" borderId="1" applyAlignment="1" applyProtection="1" pivotButton="0" quotePrefix="0" xfId="0">
      <alignment horizontal="center" vertical="center"/>
      <protection locked="0" hidden="0"/>
    </xf>
    <xf numFmtId="168" fontId="1" fillId="0" borderId="23" applyAlignment="1" applyProtection="1" pivotButton="0" quotePrefix="0" xfId="0">
      <alignment horizontal="center" vertical="center"/>
      <protection locked="0" hidden="0"/>
    </xf>
    <xf numFmtId="0" fontId="10" fillId="3" borderId="9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10" fillId="3" borderId="6" applyAlignment="1" applyProtection="1" pivotButton="0" quotePrefix="0" xfId="0">
      <alignment horizontal="center" vertical="center"/>
      <protection locked="0" hidden="0"/>
    </xf>
    <xf numFmtId="0" fontId="0" fillId="0" borderId="39" applyProtection="1" pivotButton="0" quotePrefix="0" xfId="0">
      <protection locked="0" hidden="0"/>
    </xf>
    <xf numFmtId="0" fontId="10" fillId="3" borderId="7" applyAlignment="1" applyProtection="1" pivotButton="0" quotePrefix="0" xfId="0">
      <alignment horizontal="center" vertical="center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</cellXfs>
  <cellStyles count="1">
    <cellStyle name="Normal" xfId="0" builtinId="0"/>
  </cellStyles>
  <dxfs count="5">
    <dxf>
      <font>
        <b val="1"/>
        <color rgb="FFFF0000"/>
      </font>
      <fill>
        <patternFill>
          <bgColor indexed="65"/>
        </patternFill>
      </fill>
    </dxf>
    <dxf>
      <font>
        <b val="1"/>
        <color rgb="FFFF0000"/>
      </font>
      <fill>
        <patternFill>
          <bgColor indexed="65"/>
        </patternFill>
      </fill>
    </dxf>
    <dxf>
      <font>
        <b val="1"/>
        <color rgb="FF00B050"/>
      </font>
    </dxf>
    <dxf>
      <font>
        <strike val="0"/>
        <color rgb="FFFF0000"/>
      </font>
    </dxf>
    <dxf>
      <font>
        <strike val="0"/>
        <color rgb="FFFF000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735959105740713"/>
          <y val="0.1093396792127679"/>
          <w val="0.9309073001094988"/>
          <h val="0.7045770098437711"/>
        </manualLayout>
      </layout>
      <lineChart>
        <grouping val="standar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'Volume pela Densidade (2)'!$D$28:$P$28</f>
              <numCache>
                <formatCode>0.00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2884224"/>
        <axId val="213151520"/>
      </lineChart>
      <catAx>
        <axId val="212884224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None</a:t>
            </a:r>
            <a:endParaRPr lang="pt-BR"/>
          </a:p>
        </txPr>
        <crossAx val="213151520"/>
        <crosses val="autoZero"/>
        <auto val="1"/>
        <lblAlgn val="ctr"/>
        <lblOffset val="100"/>
        <noMultiLvlLbl val="0"/>
      </catAx>
      <valAx>
        <axId val="213151520"/>
        <scaling>
          <orientation val="minMax"/>
        </scaling>
        <delete val="0"/>
        <axPos val="l"/>
        <majorGridlines/>
        <numFmt formatCode="0.00" sourceLinked="1"/>
        <majorTickMark val="out"/>
        <minorTickMark val="none"/>
        <tickLblPos val="nextTo"/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None</a:t>
            </a:r>
            <a:endParaRPr lang="pt-BR"/>
          </a:p>
        </txPr>
        <crossAx val="212884224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2</col>
      <colOff>238125</colOff>
      <row>40</row>
      <rowOff>209550</rowOff>
    </from>
    <to>
      <col>16</col>
      <colOff>38100</colOff>
      <row>49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233880</colOff>
      <row>0</row>
      <rowOff>0</rowOff>
    </from>
    <to>
      <col>0</col>
      <colOff>881880</colOff>
      <row>2</row>
      <rowOff>181275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33880" y="0"/>
          <a:ext cx="648000" cy="648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2">
    <tabColor theme="1"/>
    <outlinePr summaryBelow="1" summaryRight="1"/>
    <pageSetUpPr/>
  </sheetPr>
  <dimension ref="A1:Q52"/>
  <sheetViews>
    <sheetView showGridLines="0" tabSelected="1" zoomScaleNormal="100" zoomScaleSheetLayoutView="100" workbookViewId="0">
      <selection activeCell="A28" sqref="A28"/>
    </sheetView>
  </sheetViews>
  <sheetFormatPr baseColWidth="8" defaultColWidth="22.85546875" defaultRowHeight="0" customHeight="1" zeroHeight="1"/>
  <cols>
    <col width="18.42578125" bestFit="1" customWidth="1" style="36" min="1" max="1"/>
    <col width="11" customWidth="1" style="36" min="2" max="2"/>
    <col width="11.5703125" customWidth="1" style="36" min="3" max="3"/>
    <col width="10.28515625" customWidth="1" style="36" min="4" max="16"/>
    <col width="0.85546875" customWidth="1" style="36" min="17" max="17"/>
    <col width="21.5703125" customWidth="1" style="36" min="18" max="18"/>
    <col width="22.85546875" customWidth="1" style="64" min="19" max="16384"/>
  </cols>
  <sheetData>
    <row r="1" ht="17.25" customHeight="1" thickBot="1">
      <c r="A1" s="65" t="n"/>
      <c r="B1" s="151" t="inlineStr">
        <is>
          <t>REGISTRO DE QUALIDADE</t>
        </is>
      </c>
      <c r="C1" s="152" t="n"/>
      <c r="D1" s="152" t="n"/>
      <c r="E1" s="152" t="n"/>
      <c r="F1" s="152" t="n"/>
      <c r="G1" s="152" t="n"/>
      <c r="H1" s="152" t="n"/>
      <c r="I1" s="152" t="n"/>
      <c r="J1" s="152" t="n"/>
      <c r="K1" s="152" t="n"/>
      <c r="L1" s="152" t="n"/>
      <c r="M1" s="153" t="n"/>
      <c r="N1" s="154" t="inlineStr">
        <is>
          <t>RQ 6308 REV 03</t>
        </is>
      </c>
      <c r="O1" s="152" t="n"/>
      <c r="P1" s="153" t="n"/>
    </row>
    <row r="2" ht="19.5" customHeight="1" thickBot="1">
      <c r="A2" s="155" t="n"/>
      <c r="B2" s="156" t="inlineStr">
        <is>
          <t>FICHA DE CONTROLE EM PROCESSO DE VOLUME 
PELA DENSIDADE DE SUPLEMENTO LÍQUIDO</t>
        </is>
      </c>
      <c r="C2" s="152" t="n"/>
      <c r="D2" s="152" t="n"/>
      <c r="E2" s="152" t="n"/>
      <c r="F2" s="152" t="n"/>
      <c r="G2" s="152" t="n"/>
      <c r="H2" s="152" t="n"/>
      <c r="I2" s="152" t="n"/>
      <c r="J2" s="152" t="n"/>
      <c r="K2" s="152" t="n"/>
      <c r="L2" s="152" t="n"/>
      <c r="M2" s="153" t="n"/>
      <c r="N2" s="157" t="inlineStr">
        <is>
          <t>PRODUÇÃO</t>
        </is>
      </c>
      <c r="O2" s="152" t="n"/>
      <c r="P2" s="153" t="n"/>
    </row>
    <row r="3" ht="18.75" customHeight="1" thickBot="1">
      <c r="A3" s="158" t="n"/>
      <c r="B3" s="159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1" t="n"/>
      <c r="N3" s="162" t="inlineStr">
        <is>
          <t>PÁGINA 1 DE 1</t>
        </is>
      </c>
      <c r="O3" s="163" t="n"/>
      <c r="P3" s="164" t="n"/>
    </row>
    <row r="4" ht="8.25" customHeight="1" thickBot="1"/>
    <row r="5" ht="12.75" customHeight="1" thickBot="1">
      <c r="A5" s="86" t="inlineStr">
        <is>
          <t>PRODUTO</t>
        </is>
      </c>
      <c r="B5" s="165" t="n"/>
      <c r="C5" s="165" t="n"/>
      <c r="D5" s="166" t="n"/>
      <c r="E5" s="37" t="inlineStr">
        <is>
          <t>LOTE</t>
        </is>
      </c>
      <c r="F5" s="89" t="inlineStr">
        <is>
          <t>VOLUME DECLARADO (mL)</t>
        </is>
      </c>
      <c r="G5" s="165" t="n"/>
      <c r="H5" s="165" t="n"/>
      <c r="I5" s="166" t="n"/>
      <c r="J5" s="89" t="inlineStr">
        <is>
          <t>VARIAÇÃO PERMITIDA (%)</t>
        </is>
      </c>
      <c r="K5" s="165" t="n"/>
      <c r="L5" s="165" t="n"/>
      <c r="M5" s="166" t="n"/>
      <c r="N5" s="38" t="n"/>
      <c r="O5" s="167" t="inlineStr">
        <is>
          <t>Máquina Envase (TAG)</t>
        </is>
      </c>
      <c r="P5" s="153" t="n"/>
    </row>
    <row r="6" ht="12.75" customHeight="1" thickBot="1">
      <c r="A6" s="168" t="n"/>
      <c r="B6" s="160" t="n"/>
      <c r="C6" s="160" t="n"/>
      <c r="D6" s="161" t="n"/>
      <c r="E6" s="4" t="n"/>
      <c r="F6" s="169" t="n">
        <v>100</v>
      </c>
      <c r="G6" s="170" t="n"/>
      <c r="H6" s="170" t="n"/>
      <c r="I6" s="171" t="n"/>
      <c r="J6" s="100" t="n"/>
      <c r="K6" s="172" t="n"/>
      <c r="L6" s="172" t="n"/>
      <c r="M6" s="173" t="n"/>
      <c r="N6" s="38" t="n"/>
      <c r="O6" s="174" t="n"/>
      <c r="P6" s="164" t="n"/>
    </row>
    <row r="7" ht="12.75" customHeight="1" thickBot="1">
      <c r="A7" s="105" t="inlineStr">
        <is>
          <t xml:space="preserve">FREQUÊNCIA: A CADA 30 MINUTOS, COM TOLERÂNCIA DE 10 MINUTOS. </t>
        </is>
      </c>
      <c r="B7" s="175" t="n"/>
      <c r="C7" s="175" t="n"/>
      <c r="D7" s="175" t="n"/>
      <c r="E7" s="175" t="n"/>
      <c r="F7" s="107" t="inlineStr">
        <is>
          <t>Densidade (g/mL)</t>
        </is>
      </c>
      <c r="G7" s="176" t="n"/>
      <c r="H7" s="177">
        <f>C26</f>
        <v/>
      </c>
      <c r="I7" s="178" t="n"/>
      <c r="J7" s="107" t="inlineStr">
        <is>
          <t>Mínimo (mL)</t>
        </is>
      </c>
      <c r="K7" s="176" t="n"/>
      <c r="L7" s="111">
        <f>F6</f>
        <v/>
      </c>
      <c r="M7" s="176" t="n"/>
      <c r="N7" s="39" t="inlineStr">
        <is>
          <t>Linha</t>
        </is>
      </c>
      <c r="O7" s="179" t="inlineStr">
        <is>
          <t>TAG Balança</t>
        </is>
      </c>
      <c r="P7" s="164" t="n"/>
    </row>
    <row r="8" ht="13.5" customHeight="1" thickBot="1">
      <c r="A8" s="105" t="inlineStr">
        <is>
          <t>OBS.: O VOLUME NÃO PODE SER INFERIOR AO DECLARADO</t>
        </is>
      </c>
      <c r="B8" s="175" t="n"/>
      <c r="C8" s="175" t="n"/>
      <c r="D8" s="175" t="n"/>
      <c r="E8" s="175" t="n"/>
      <c r="F8" s="115" t="inlineStr">
        <is>
          <t>Peso Emb. Primária (g)</t>
        </is>
      </c>
      <c r="G8" s="180" t="n"/>
      <c r="H8" s="181">
        <f>C25</f>
        <v/>
      </c>
      <c r="I8" s="182" t="n"/>
      <c r="J8" s="107" t="inlineStr">
        <is>
          <t>Máximo (mL)</t>
        </is>
      </c>
      <c r="K8" s="176" t="n"/>
      <c r="L8" s="111">
        <f>F6+(J6*F6/100)</f>
        <v/>
      </c>
      <c r="M8" s="176" t="n"/>
      <c r="N8" s="103" t="n"/>
      <c r="O8" s="174" t="n"/>
      <c r="P8" s="164" t="n"/>
    </row>
    <row r="9" ht="12.75" customHeight="1" thickBot="1">
      <c r="A9" s="119" t="n"/>
      <c r="B9" s="163" t="n"/>
      <c r="C9" s="163" t="n"/>
      <c r="D9" s="163" t="n"/>
      <c r="E9" s="163" t="n"/>
      <c r="F9" s="163" t="n"/>
      <c r="G9" s="163" t="n"/>
      <c r="H9" s="163" t="n"/>
      <c r="I9" s="163" t="n"/>
      <c r="J9" s="163" t="n"/>
      <c r="K9" s="163" t="n"/>
      <c r="L9" s="163" t="n"/>
      <c r="M9" s="163" t="n"/>
      <c r="N9" s="163" t="n"/>
      <c r="O9" s="163" t="n"/>
      <c r="P9" s="176" t="n"/>
    </row>
    <row r="10" ht="12.75" customHeight="1" thickBot="1">
      <c r="A10" s="40" t="n"/>
      <c r="B10" s="41" t="inlineStr">
        <is>
          <t>peso ME 1</t>
        </is>
      </c>
      <c r="C10" s="42" t="inlineStr">
        <is>
          <t>peso ME 2</t>
        </is>
      </c>
      <c r="D10" s="183" t="inlineStr">
        <is>
          <t>PESO</t>
        </is>
      </c>
      <c r="E10" s="163" t="n"/>
      <c r="F10" s="163" t="n"/>
      <c r="G10" s="163" t="n"/>
      <c r="H10" s="163" t="n"/>
      <c r="I10" s="163" t="n"/>
      <c r="J10" s="163" t="n"/>
      <c r="K10" s="163" t="n"/>
      <c r="L10" s="163" t="n"/>
      <c r="M10" s="163" t="n"/>
      <c r="N10" s="163" t="n"/>
      <c r="O10" s="163" t="n"/>
      <c r="P10" s="164" t="n"/>
    </row>
    <row r="11" ht="12.75" customHeight="1">
      <c r="A11" s="43" t="inlineStr">
        <is>
          <t>REALIZADO POR:</t>
        </is>
      </c>
      <c r="B11" s="20" t="n"/>
      <c r="C11" s="2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2" t="n"/>
      <c r="N11" s="12" t="n"/>
      <c r="O11" s="12" t="n"/>
      <c r="P11" s="13" t="n"/>
    </row>
    <row r="12" ht="12.75" customHeight="1">
      <c r="A12" s="44" t="inlineStr">
        <is>
          <t>DATA:</t>
        </is>
      </c>
      <c r="B12" s="184" t="n"/>
      <c r="C12" s="185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5" t="n"/>
    </row>
    <row r="13" ht="13.5" customHeight="1" thickBot="1">
      <c r="A13" s="45" t="inlineStr">
        <is>
          <t>HORA:</t>
        </is>
      </c>
      <c r="B13" s="25" t="n"/>
      <c r="C13" s="26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8" t="n"/>
    </row>
    <row r="14" hidden="1" ht="13.5" customHeight="1" thickBot="1">
      <c r="A14" s="46" t="n"/>
      <c r="B14" s="187" t="n"/>
      <c r="C14" s="188" t="n"/>
      <c r="D14" s="189" t="n"/>
      <c r="E14" s="189" t="n"/>
      <c r="F14" s="189" t="n"/>
      <c r="G14" s="189" t="n"/>
      <c r="H14" s="189" t="n"/>
      <c r="I14" s="189" t="n"/>
      <c r="J14" s="189" t="n"/>
      <c r="K14" s="189" t="n"/>
      <c r="L14" s="189" t="n"/>
      <c r="M14" s="189" t="n"/>
      <c r="N14" s="189" t="n"/>
      <c r="O14" s="189" t="n"/>
      <c r="P14" s="188" t="n"/>
    </row>
    <row r="15" ht="12.75" customHeight="1">
      <c r="A15" s="47" t="inlineStr">
        <is>
          <t>1º peso (g)</t>
        </is>
      </c>
      <c r="B15" s="190" t="n"/>
      <c r="C15" s="191" t="n"/>
      <c r="D15" s="5" t="n"/>
      <c r="E15" s="1" t="n"/>
      <c r="F15" s="5" t="n"/>
      <c r="G15" s="1" t="n"/>
      <c r="H15" s="5" t="n"/>
      <c r="I15" s="1" t="n"/>
      <c r="J15" s="5" t="n"/>
      <c r="K15" s="1" t="n"/>
      <c r="L15" s="5" t="n"/>
      <c r="M15" s="1" t="n"/>
      <c r="N15" s="5" t="n"/>
      <c r="O15" s="1" t="n"/>
      <c r="P15" s="8" t="n"/>
    </row>
    <row r="16" ht="12.75" customHeight="1">
      <c r="A16" s="47" t="inlineStr">
        <is>
          <t>2º peso (g)</t>
        </is>
      </c>
      <c r="B16" s="192" t="n"/>
      <c r="C16" s="193" t="n"/>
      <c r="D16" s="6" t="n"/>
      <c r="E16" s="2" t="n"/>
      <c r="F16" s="6" t="n"/>
      <c r="G16" s="2" t="n"/>
      <c r="H16" s="6" t="n"/>
      <c r="I16" s="2" t="n"/>
      <c r="J16" s="6" t="n"/>
      <c r="K16" s="2" t="n"/>
      <c r="L16" s="6" t="n"/>
      <c r="M16" s="2" t="n"/>
      <c r="N16" s="6" t="n"/>
      <c r="O16" s="2" t="n"/>
      <c r="P16" s="9" t="n"/>
    </row>
    <row r="17" ht="12.75" customHeight="1">
      <c r="A17" s="47" t="inlineStr">
        <is>
          <t>3º peso (g)</t>
        </is>
      </c>
      <c r="B17" s="192" t="n"/>
      <c r="C17" s="193" t="n"/>
      <c r="D17" s="6" t="n"/>
      <c r="E17" s="2" t="n"/>
      <c r="F17" s="6" t="n"/>
      <c r="G17" s="2" t="n"/>
      <c r="H17" s="6" t="n"/>
      <c r="I17" s="2" t="n"/>
      <c r="J17" s="6" t="n"/>
      <c r="K17" s="2" t="n"/>
      <c r="L17" s="6" t="n"/>
      <c r="M17" s="2" t="n"/>
      <c r="N17" s="6" t="n"/>
      <c r="O17" s="2" t="n"/>
      <c r="P17" s="9" t="n"/>
    </row>
    <row r="18" ht="12.75" customHeight="1">
      <c r="A18" s="47" t="inlineStr">
        <is>
          <t>4º peso (g)</t>
        </is>
      </c>
      <c r="B18" s="192" t="n"/>
      <c r="C18" s="193" t="n"/>
      <c r="D18" s="6" t="n"/>
      <c r="E18" s="2" t="n"/>
      <c r="F18" s="6" t="n"/>
      <c r="G18" s="2" t="n"/>
      <c r="H18" s="6" t="n"/>
      <c r="I18" s="2" t="n"/>
      <c r="J18" s="6" t="n"/>
      <c r="K18" s="2" t="n"/>
      <c r="L18" s="6" t="n"/>
      <c r="M18" s="2" t="n"/>
      <c r="N18" s="6" t="n"/>
      <c r="O18" s="2" t="n"/>
      <c r="P18" s="9" t="n"/>
    </row>
    <row r="19" ht="12.75" customHeight="1">
      <c r="A19" s="47" t="inlineStr">
        <is>
          <t>5º peso (g)</t>
        </is>
      </c>
      <c r="B19" s="192" t="n"/>
      <c r="C19" s="193" t="n"/>
      <c r="D19" s="6" t="n"/>
      <c r="E19" s="2" t="n"/>
      <c r="F19" s="6" t="n"/>
      <c r="G19" s="2" t="n"/>
      <c r="H19" s="6" t="n"/>
      <c r="I19" s="2" t="n"/>
      <c r="J19" s="6" t="n"/>
      <c r="K19" s="2" t="n"/>
      <c r="L19" s="6" t="n"/>
      <c r="M19" s="2" t="n"/>
      <c r="N19" s="6" t="n"/>
      <c r="O19" s="2" t="n"/>
      <c r="P19" s="9" t="n"/>
    </row>
    <row r="20" ht="12.75" customHeight="1">
      <c r="A20" s="47" t="inlineStr">
        <is>
          <t>6º peso (g)</t>
        </is>
      </c>
      <c r="B20" s="192" t="n"/>
      <c r="C20" s="193" t="n"/>
      <c r="D20" s="6" t="n"/>
      <c r="E20" s="2" t="n"/>
      <c r="F20" s="6" t="n"/>
      <c r="G20" s="2" t="n"/>
      <c r="H20" s="6" t="n"/>
      <c r="I20" s="2" t="n"/>
      <c r="J20" s="6" t="n"/>
      <c r="K20" s="2" t="n"/>
      <c r="L20" s="6" t="n"/>
      <c r="M20" s="2" t="n"/>
      <c r="N20" s="6" t="n"/>
      <c r="O20" s="2" t="n"/>
      <c r="P20" s="9" t="n"/>
    </row>
    <row r="21" ht="12.75" customHeight="1">
      <c r="A21" s="47" t="inlineStr">
        <is>
          <t>7º peso (g)</t>
        </is>
      </c>
      <c r="B21" s="192" t="n"/>
      <c r="C21" s="193" t="n"/>
      <c r="D21" s="6" t="n"/>
      <c r="E21" s="2" t="n"/>
      <c r="F21" s="6" t="n"/>
      <c r="G21" s="2" t="n"/>
      <c r="H21" s="6" t="n"/>
      <c r="I21" s="2" t="n"/>
      <c r="J21" s="6" t="n"/>
      <c r="K21" s="2" t="n"/>
      <c r="L21" s="6" t="n"/>
      <c r="M21" s="2" t="n"/>
      <c r="N21" s="6" t="n"/>
      <c r="O21" s="2" t="n"/>
      <c r="P21" s="9" t="n"/>
    </row>
    <row r="22" ht="12.75" customHeight="1">
      <c r="A22" s="47" t="inlineStr">
        <is>
          <t>8º peso (g)</t>
        </is>
      </c>
      <c r="B22" s="192" t="n"/>
      <c r="C22" s="193" t="n"/>
      <c r="D22" s="6" t="n"/>
      <c r="E22" s="2" t="n"/>
      <c r="F22" s="6" t="n"/>
      <c r="G22" s="2" t="n"/>
      <c r="H22" s="6" t="n"/>
      <c r="I22" s="2" t="n"/>
      <c r="J22" s="6" t="n"/>
      <c r="K22" s="2" t="n"/>
      <c r="L22" s="6" t="n"/>
      <c r="M22" s="2" t="n"/>
      <c r="N22" s="6" t="n"/>
      <c r="O22" s="2" t="n"/>
      <c r="P22" s="9" t="n"/>
    </row>
    <row r="23" ht="12.75" customHeight="1">
      <c r="A23" s="47" t="inlineStr">
        <is>
          <t>9º peso (g)</t>
        </is>
      </c>
      <c r="B23" s="192" t="n"/>
      <c r="C23" s="193" t="n"/>
      <c r="D23" s="6" t="n"/>
      <c r="E23" s="2" t="n"/>
      <c r="F23" s="6" t="n"/>
      <c r="G23" s="2" t="n"/>
      <c r="H23" s="6" t="n"/>
      <c r="I23" s="2" t="n"/>
      <c r="J23" s="6" t="n"/>
      <c r="K23" s="2" t="n"/>
      <c r="L23" s="6" t="n"/>
      <c r="M23" s="2" t="n"/>
      <c r="N23" s="6" t="n"/>
      <c r="O23" s="2" t="n"/>
      <c r="P23" s="9" t="n"/>
    </row>
    <row r="24" ht="12.75" customHeight="1" thickBot="1">
      <c r="A24" s="48" t="inlineStr">
        <is>
          <t>10º peso (g)</t>
        </is>
      </c>
      <c r="B24" s="194" t="n"/>
      <c r="C24" s="195" t="n"/>
      <c r="D24" s="7" t="n"/>
      <c r="E24" s="3" t="n"/>
      <c r="F24" s="7" t="n"/>
      <c r="G24" s="3" t="n"/>
      <c r="H24" s="7" t="n"/>
      <c r="I24" s="3" t="n"/>
      <c r="J24" s="7" t="n"/>
      <c r="K24" s="3" t="n"/>
      <c r="L24" s="7" t="n"/>
      <c r="M24" s="3" t="n"/>
      <c r="N24" s="7" t="n"/>
      <c r="O24" s="3" t="n"/>
      <c r="P24" s="10" t="n"/>
    </row>
    <row r="25" ht="15.75" customHeight="1" thickBot="1">
      <c r="A25" s="49" t="inlineStr">
        <is>
          <t>média</t>
        </is>
      </c>
      <c r="B25" s="196">
        <f>SUM(B15:B24)/10</f>
        <v/>
      </c>
      <c r="C25" s="196">
        <f>SUM(C15:C24)/10</f>
        <v/>
      </c>
      <c r="D25" s="126" t="inlineStr">
        <is>
          <t>Legenda: Se os valores de média e densidade estiverem diferentes, ficarão vermelhos e deverão ser reavaliados.</t>
        </is>
      </c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2" t="n"/>
      <c r="P25" s="152" t="n"/>
    </row>
    <row r="26" ht="17.25" customHeight="1" thickBot="1">
      <c r="A26" s="51" t="inlineStr">
        <is>
          <t>Densidade</t>
        </is>
      </c>
      <c r="B26" s="197" t="n">
        <v>0</v>
      </c>
      <c r="C26" s="198" t="n">
        <v>0</v>
      </c>
      <c r="D26" s="199" t="n"/>
      <c r="E26" s="175" t="n"/>
      <c r="F26" s="175" t="n"/>
      <c r="G26" s="175" t="n"/>
      <c r="H26" s="175" t="n"/>
      <c r="I26" s="175" t="n"/>
      <c r="J26" s="175" t="n"/>
      <c r="K26" s="175" t="n"/>
      <c r="L26" s="175" t="n"/>
      <c r="M26" s="175" t="n"/>
      <c r="N26" s="175" t="n"/>
      <c r="O26" s="175" t="n"/>
      <c r="P26" s="175" t="n"/>
      <c r="Q26" s="24" t="n"/>
    </row>
    <row r="27" ht="7.5" customHeight="1" thickBot="1">
      <c r="A27" s="57" t="n"/>
      <c r="B27" s="163" t="n"/>
      <c r="C27" s="163" t="n"/>
      <c r="D27" s="163" t="n"/>
      <c r="E27" s="163" t="n"/>
      <c r="F27" s="163" t="n"/>
      <c r="G27" s="163" t="n"/>
      <c r="H27" s="163" t="n"/>
      <c r="I27" s="163" t="n"/>
      <c r="J27" s="163" t="n"/>
      <c r="K27" s="163" t="n"/>
      <c r="L27" s="163" t="n"/>
      <c r="M27" s="163" t="n"/>
      <c r="N27" s="163" t="n"/>
      <c r="O27" s="163" t="n"/>
      <c r="P27" s="163" t="n"/>
    </row>
    <row r="28" ht="12.75" customHeight="1" thickBot="1">
      <c r="B28" s="200" t="inlineStr">
        <is>
          <t>MÉDIA (mL)</t>
        </is>
      </c>
      <c r="C28" s="164" t="n"/>
      <c r="D28" s="53">
        <f>AVERAGE(D31:D40)</f>
        <v/>
      </c>
      <c r="E28" s="54">
        <f>AVERAGE(E31:E40)</f>
        <v/>
      </c>
      <c r="F28" s="55">
        <f>AVERAGE(F31:F40)</f>
        <v/>
      </c>
      <c r="G28" s="54">
        <f>AVERAGE(G31:G40)</f>
        <v/>
      </c>
      <c r="H28" s="55">
        <f>AVERAGE(H31:H40)</f>
        <v/>
      </c>
      <c r="I28" s="54">
        <f>AVERAGE(I31:I40)</f>
        <v/>
      </c>
      <c r="J28" s="55">
        <f>AVERAGE(J31:J40)</f>
        <v/>
      </c>
      <c r="K28" s="54">
        <f>AVERAGE(K31:K40)</f>
        <v/>
      </c>
      <c r="L28" s="55">
        <f>AVERAGE(L31:L40)</f>
        <v/>
      </c>
      <c r="M28" s="54">
        <f>AVERAGE(M31:M40)</f>
        <v/>
      </c>
      <c r="N28" s="55">
        <f>AVERAGE(N31:N40)</f>
        <v/>
      </c>
      <c r="O28" s="54">
        <f>AVERAGE(O31:O40)</f>
        <v/>
      </c>
      <c r="P28" s="56">
        <f>AVERAGE(P31:P40)</f>
        <v/>
      </c>
    </row>
    <row r="29" ht="7.5" customHeight="1" thickBot="1">
      <c r="B29" s="132" t="n"/>
      <c r="C29" s="132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</row>
    <row r="30" ht="12.75" customHeight="1" thickBot="1">
      <c r="B30" s="201" t="inlineStr">
        <is>
          <t xml:space="preserve">VOLUME </t>
        </is>
      </c>
      <c r="C30" s="164" t="n"/>
      <c r="D30" s="202">
        <f>D13</f>
        <v/>
      </c>
      <c r="E30" s="202">
        <f>E13</f>
        <v/>
      </c>
      <c r="F30" s="202">
        <f>F13</f>
        <v/>
      </c>
      <c r="G30" s="202">
        <f>G13</f>
        <v/>
      </c>
      <c r="H30" s="202">
        <f>H13</f>
        <v/>
      </c>
      <c r="I30" s="202">
        <f>I13</f>
        <v/>
      </c>
      <c r="J30" s="202">
        <f>J13</f>
        <v/>
      </c>
      <c r="K30" s="202">
        <f>K13</f>
        <v/>
      </c>
      <c r="L30" s="202">
        <f>L13</f>
        <v/>
      </c>
      <c r="M30" s="202">
        <f>M13</f>
        <v/>
      </c>
      <c r="N30" s="202">
        <f>N13</f>
        <v/>
      </c>
      <c r="O30" s="202">
        <f>O13</f>
        <v/>
      </c>
      <c r="P30" s="203">
        <f>P13</f>
        <v/>
      </c>
    </row>
    <row r="31" ht="12.75" customHeight="1">
      <c r="B31" s="204" t="inlineStr">
        <is>
          <t>1º volume (mL)</t>
        </is>
      </c>
      <c r="C31" s="205" t="n"/>
      <c r="D31" s="6">
        <f>(D15-$H$8)/$H$7</f>
        <v/>
      </c>
      <c r="E31" s="60">
        <f>(E15-$H$8)/$H$7</f>
        <v/>
      </c>
      <c r="F31" s="6">
        <f>(F15-$H$8)/$H$7</f>
        <v/>
      </c>
      <c r="G31" s="60">
        <f>(G15-$H$8)/$H$7</f>
        <v/>
      </c>
      <c r="H31" s="6">
        <f>(H15-$H$8)/$H$7</f>
        <v/>
      </c>
      <c r="I31" s="60">
        <f>(I15-$H$8)/$H$7</f>
        <v/>
      </c>
      <c r="J31" s="6">
        <f>(J15-$H$8)/$H$7</f>
        <v/>
      </c>
      <c r="K31" s="60">
        <f>(K15-$H$8)/$H$7</f>
        <v/>
      </c>
      <c r="L31" s="6">
        <f>(L15-$H$8)/$H$7</f>
        <v/>
      </c>
      <c r="M31" s="60">
        <f>(M15-$H$8)/$H$7</f>
        <v/>
      </c>
      <c r="N31" s="6">
        <f>(N15-$H$8)/$H$7</f>
        <v/>
      </c>
      <c r="O31" s="60">
        <f>(O15-$H$8)/$H$7</f>
        <v/>
      </c>
      <c r="P31" s="9">
        <f>(P15-$H$8)/$H$7</f>
        <v/>
      </c>
    </row>
    <row r="32" ht="12.75" customHeight="1">
      <c r="B32" s="206" t="inlineStr">
        <is>
          <t>2º volume (mL)</t>
        </is>
      </c>
      <c r="C32" s="207" t="n"/>
      <c r="D32" s="6">
        <f>(D16-$H$8)/$H$7</f>
        <v/>
      </c>
      <c r="E32" s="60">
        <f>(E16-$H$8)/$H$7</f>
        <v/>
      </c>
      <c r="F32" s="6">
        <f>(F16-$H$8)/$H$7</f>
        <v/>
      </c>
      <c r="G32" s="60">
        <f>(G16-$H$8)/$H$7</f>
        <v/>
      </c>
      <c r="H32" s="6">
        <f>(H16-$H$8)/$H$7</f>
        <v/>
      </c>
      <c r="I32" s="60">
        <f>(I16-$H$8)/$H$7</f>
        <v/>
      </c>
      <c r="J32" s="6">
        <f>(J16-$H$8)/$H$7</f>
        <v/>
      </c>
      <c r="K32" s="60">
        <f>(K16-$H$8)/$H$7</f>
        <v/>
      </c>
      <c r="L32" s="6">
        <f>(L16-$H$8)/$H$7</f>
        <v/>
      </c>
      <c r="M32" s="60">
        <f>(M16-$H$8)/$H$7</f>
        <v/>
      </c>
      <c r="N32" s="6">
        <f>(N16-$H$8)/$H$7</f>
        <v/>
      </c>
      <c r="O32" s="60">
        <f>(O16-$H$8)/$H$7</f>
        <v/>
      </c>
      <c r="P32" s="9">
        <f>(P16-$H$8)/$H$7</f>
        <v/>
      </c>
    </row>
    <row r="33" ht="12.75" customHeight="1">
      <c r="B33" s="206" t="inlineStr">
        <is>
          <t>3º volume (mL)</t>
        </is>
      </c>
      <c r="C33" s="207" t="n"/>
      <c r="D33" s="6">
        <f>(D17-$H$8)/$H$7</f>
        <v/>
      </c>
      <c r="E33" s="60">
        <f>(E17-$H$8)/$H$7</f>
        <v/>
      </c>
      <c r="F33" s="6">
        <f>(F17-$H$8)/$H$7</f>
        <v/>
      </c>
      <c r="G33" s="60">
        <f>(G17-$H$8)/$H$7</f>
        <v/>
      </c>
      <c r="H33" s="6">
        <f>(H17-$H$8)/$H$7</f>
        <v/>
      </c>
      <c r="I33" s="60">
        <f>(I17-$H$8)/$H$7</f>
        <v/>
      </c>
      <c r="J33" s="6">
        <f>(J17-$H$8)/$H$7</f>
        <v/>
      </c>
      <c r="K33" s="60">
        <f>(K17-$H$8)/$H$7</f>
        <v/>
      </c>
      <c r="L33" s="6">
        <f>(L17-$H$8)/$H$7</f>
        <v/>
      </c>
      <c r="M33" s="60">
        <f>(M17-$H$8)/$H$7</f>
        <v/>
      </c>
      <c r="N33" s="6">
        <f>(N17-$H$8)/$H$7</f>
        <v/>
      </c>
      <c r="O33" s="60">
        <f>(O17-$H$8)/$H$7</f>
        <v/>
      </c>
      <c r="P33" s="9">
        <f>(P17-$H$8)/$H$7</f>
        <v/>
      </c>
    </row>
    <row r="34" ht="12.75" customHeight="1">
      <c r="B34" s="206" t="inlineStr">
        <is>
          <t>4º volume (mL)</t>
        </is>
      </c>
      <c r="C34" s="207" t="n"/>
      <c r="D34" s="6">
        <f>(D18-$H$8)/$H$7</f>
        <v/>
      </c>
      <c r="E34" s="60">
        <f>(E18-$H$8)/$H$7</f>
        <v/>
      </c>
      <c r="F34" s="6">
        <f>(F18-$H$8)/$H$7</f>
        <v/>
      </c>
      <c r="G34" s="60">
        <f>(G18-$H$8)/$H$7</f>
        <v/>
      </c>
      <c r="H34" s="6">
        <f>(H18-$H$8)/$H$7</f>
        <v/>
      </c>
      <c r="I34" s="60">
        <f>(I18-$H$8)/$H$7</f>
        <v/>
      </c>
      <c r="J34" s="6">
        <f>(J18-$H$8)/$H$7</f>
        <v/>
      </c>
      <c r="K34" s="60">
        <f>(K18-$H$8)/$H$7</f>
        <v/>
      </c>
      <c r="L34" s="6">
        <f>(L18-$H$8)/$H$7</f>
        <v/>
      </c>
      <c r="M34" s="60">
        <f>(M18-$H$8)/$H$7</f>
        <v/>
      </c>
      <c r="N34" s="6">
        <f>(N18-$H$8)/$H$7</f>
        <v/>
      </c>
      <c r="O34" s="60">
        <f>(O18-$H$8)/$H$7</f>
        <v/>
      </c>
      <c r="P34" s="9">
        <f>(P18-$H$8)/$H$7</f>
        <v/>
      </c>
    </row>
    <row r="35" ht="12.75" customHeight="1">
      <c r="B35" s="206" t="inlineStr">
        <is>
          <t>5º volume (mL)</t>
        </is>
      </c>
      <c r="C35" s="207" t="n"/>
      <c r="D35" s="6">
        <f>(D19-$H$8)/$H$7</f>
        <v/>
      </c>
      <c r="E35" s="60">
        <f>(E19-$H$8)/$H$7</f>
        <v/>
      </c>
      <c r="F35" s="6">
        <f>(F19-$H$8)/$H$7</f>
        <v/>
      </c>
      <c r="G35" s="60">
        <f>(G19-$H$8)/$H$7</f>
        <v/>
      </c>
      <c r="H35" s="6">
        <f>(H19-$H$8)/$H$7</f>
        <v/>
      </c>
      <c r="I35" s="60">
        <f>(I19-$H$8)/$H$7</f>
        <v/>
      </c>
      <c r="J35" s="6">
        <f>(J19-$H$8)/$H$7</f>
        <v/>
      </c>
      <c r="K35" s="60">
        <f>(K19-$H$8)/$H$7</f>
        <v/>
      </c>
      <c r="L35" s="6">
        <f>(L19-$H$8)/$H$7</f>
        <v/>
      </c>
      <c r="M35" s="60">
        <f>(M19-$H$8)/$H$7</f>
        <v/>
      </c>
      <c r="N35" s="6">
        <f>(N19-$H$8)/$H$7</f>
        <v/>
      </c>
      <c r="O35" s="60">
        <f>(O19-$H$8)/$H$7</f>
        <v/>
      </c>
      <c r="P35" s="9">
        <f>(P19-$H$8)/$H$7</f>
        <v/>
      </c>
    </row>
    <row r="36" ht="12.75" customHeight="1">
      <c r="B36" s="206" t="inlineStr">
        <is>
          <t>6º volume (mL)</t>
        </is>
      </c>
      <c r="C36" s="207" t="n"/>
      <c r="D36" s="6">
        <f>(D20-$H$8)/$H$7</f>
        <v/>
      </c>
      <c r="E36" s="60">
        <f>(E20-$H$8)/$H$7</f>
        <v/>
      </c>
      <c r="F36" s="6">
        <f>(F20-$H$8)/$H$7</f>
        <v/>
      </c>
      <c r="G36" s="60">
        <f>(G20-$H$8)/$H$7</f>
        <v/>
      </c>
      <c r="H36" s="6">
        <f>(H20-$H$8)/$H$7</f>
        <v/>
      </c>
      <c r="I36" s="60">
        <f>(I20-$H$8)/$H$7</f>
        <v/>
      </c>
      <c r="J36" s="6">
        <f>(J20-$H$8)/$H$7</f>
        <v/>
      </c>
      <c r="K36" s="60">
        <f>(K20-$H$8)/$H$7</f>
        <v/>
      </c>
      <c r="L36" s="6">
        <f>(L20-$H$8)/$H$7</f>
        <v/>
      </c>
      <c r="M36" s="60">
        <f>(M20-$H$8)/$H$7</f>
        <v/>
      </c>
      <c r="N36" s="6">
        <f>(N20-$H$8)/$H$7</f>
        <v/>
      </c>
      <c r="O36" s="60">
        <f>(O20-$H$8)/$H$7</f>
        <v/>
      </c>
      <c r="P36" s="9">
        <f>(P20-$H$8)/$H$7</f>
        <v/>
      </c>
    </row>
    <row r="37" ht="12.75" customHeight="1">
      <c r="B37" s="206" t="inlineStr">
        <is>
          <t>7º volume (mL)</t>
        </is>
      </c>
      <c r="C37" s="207" t="n"/>
      <c r="D37" s="6">
        <f>(D21-$H$8)/$H$7</f>
        <v/>
      </c>
      <c r="E37" s="60">
        <f>(E21-$H$8)/$H$7</f>
        <v/>
      </c>
      <c r="F37" s="6">
        <f>(F21-$H$8)/$H$7</f>
        <v/>
      </c>
      <c r="G37" s="60">
        <f>(G21-$H$8)/$H$7</f>
        <v/>
      </c>
      <c r="H37" s="6">
        <f>(H21-$H$8)/$H$7</f>
        <v/>
      </c>
      <c r="I37" s="60">
        <f>(I21-$H$8)/$H$7</f>
        <v/>
      </c>
      <c r="J37" s="6">
        <f>(J21-$H$8)/$H$7</f>
        <v/>
      </c>
      <c r="K37" s="60">
        <f>(K21-$H$8)/$H$7</f>
        <v/>
      </c>
      <c r="L37" s="6">
        <f>(L21-$H$8)/$H$7</f>
        <v/>
      </c>
      <c r="M37" s="60">
        <f>(M21-$H$8)/$H$7</f>
        <v/>
      </c>
      <c r="N37" s="6">
        <f>(N21-$H$8)/$H$7</f>
        <v/>
      </c>
      <c r="O37" s="60">
        <f>(O21-$H$8)/$H$7</f>
        <v/>
      </c>
      <c r="P37" s="9">
        <f>(P21-$H$8)/$H$7</f>
        <v/>
      </c>
    </row>
    <row r="38" ht="12.75" customHeight="1">
      <c r="B38" s="206" t="inlineStr">
        <is>
          <t>8º volume (mL)</t>
        </is>
      </c>
      <c r="C38" s="207" t="n"/>
      <c r="D38" s="6">
        <f>(D22-$H$8)/$H$7</f>
        <v/>
      </c>
      <c r="E38" s="60">
        <f>(E22-$H$8)/$H$7</f>
        <v/>
      </c>
      <c r="F38" s="6">
        <f>(F22-$H$8)/$H$7</f>
        <v/>
      </c>
      <c r="G38" s="60">
        <f>(G22-$H$8)/$H$7</f>
        <v/>
      </c>
      <c r="H38" s="6">
        <f>(H22-$H$8)/$H$7</f>
        <v/>
      </c>
      <c r="I38" s="60">
        <f>(I22-$H$8)/$H$7</f>
        <v/>
      </c>
      <c r="J38" s="6">
        <f>(J22-$H$8)/$H$7</f>
        <v/>
      </c>
      <c r="K38" s="60">
        <f>(K22-$H$8)/$H$7</f>
        <v/>
      </c>
      <c r="L38" s="6">
        <f>(L22-$H$8)/$H$7</f>
        <v/>
      </c>
      <c r="M38" s="60">
        <f>(M22-$H$8)/$H$7</f>
        <v/>
      </c>
      <c r="N38" s="6">
        <f>(N22-$H$8)/$H$7</f>
        <v/>
      </c>
      <c r="O38" s="60">
        <f>(O22-$H$8)/$H$7</f>
        <v/>
      </c>
      <c r="P38" s="9">
        <f>(P22-$H$8)/$H$7</f>
        <v/>
      </c>
    </row>
    <row r="39" ht="12.75" customHeight="1">
      <c r="B39" s="206" t="inlineStr">
        <is>
          <t>9º volume (mL)</t>
        </is>
      </c>
      <c r="C39" s="207" t="n"/>
      <c r="D39" s="6">
        <f>(D23-$H$8)/$H$7</f>
        <v/>
      </c>
      <c r="E39" s="60">
        <f>(E23-$H$8)/$H$7</f>
        <v/>
      </c>
      <c r="F39" s="6">
        <f>(F23-$H$8)/$H$7</f>
        <v/>
      </c>
      <c r="G39" s="60">
        <f>(G23-$H$8)/$H$7</f>
        <v/>
      </c>
      <c r="H39" s="6">
        <f>(H23-$H$8)/$H$7</f>
        <v/>
      </c>
      <c r="I39" s="60">
        <f>(I23-$H$8)/$H$7</f>
        <v/>
      </c>
      <c r="J39" s="6">
        <f>(J23-$H$8)/$H$7</f>
        <v/>
      </c>
      <c r="K39" s="60">
        <f>(K23-$H$8)/$H$7</f>
        <v/>
      </c>
      <c r="L39" s="6">
        <f>(L23-$H$8)/$H$7</f>
        <v/>
      </c>
      <c r="M39" s="60">
        <f>(M23-$H$8)/$H$7</f>
        <v/>
      </c>
      <c r="N39" s="6">
        <f>(N23-$H$8)/$H$7</f>
        <v/>
      </c>
      <c r="O39" s="60">
        <f>(O23-$H$8)/$H$7</f>
        <v/>
      </c>
      <c r="P39" s="9">
        <f>(P23-$H$8)/$H$7</f>
        <v/>
      </c>
    </row>
    <row r="40" ht="12.75" customHeight="1" thickBot="1">
      <c r="B40" s="208" t="inlineStr">
        <is>
          <t>10º volume (mL)</t>
        </is>
      </c>
      <c r="C40" s="209" t="n"/>
      <c r="D40" s="61">
        <f>(D24-$H$8)/$H$7</f>
        <v/>
      </c>
      <c r="E40" s="62">
        <f>(E24-$H$8)/$H$7</f>
        <v/>
      </c>
      <c r="F40" s="61">
        <f>(F24-$H$8)/$H$7</f>
        <v/>
      </c>
      <c r="G40" s="62">
        <f>(G24-$H$8)/$H$7</f>
        <v/>
      </c>
      <c r="H40" s="61">
        <f>(H24-$H$8)/$H$7</f>
        <v/>
      </c>
      <c r="I40" s="62">
        <f>(I24-$H$8)/$H$7</f>
        <v/>
      </c>
      <c r="J40" s="61">
        <f>(J24-$H$8)/$H$7</f>
        <v/>
      </c>
      <c r="K40" s="62">
        <f>(K24-$H$8)/$H$7</f>
        <v/>
      </c>
      <c r="L40" s="61">
        <f>(L24-$H$8)/$H$7</f>
        <v/>
      </c>
      <c r="M40" s="62">
        <f>(M24-$H$8)/$H$7</f>
        <v/>
      </c>
      <c r="N40" s="61">
        <f>(N24-$H$8)/$H$7</f>
        <v/>
      </c>
      <c r="O40" s="62">
        <f>(O24-$H$8)/$H$7</f>
        <v/>
      </c>
      <c r="P40" s="63">
        <f>(P24-$H$8)/$H$7</f>
        <v/>
      </c>
    </row>
    <row r="41" ht="17.25" customHeight="1">
      <c r="A41" s="150" t="inlineStr">
        <is>
          <t>VOLUME MÉDIO DURANTE O PROCESSO (ml)</t>
        </is>
      </c>
      <c r="B41" s="175" t="n"/>
      <c r="C41" s="175" t="n"/>
      <c r="D41" s="175" t="n"/>
      <c r="E41" s="175" t="n"/>
      <c r="F41" s="175" t="n"/>
      <c r="G41" s="175" t="n"/>
      <c r="H41" s="175" t="n"/>
      <c r="I41" s="175" t="n"/>
      <c r="J41" s="175" t="n"/>
      <c r="K41" s="175" t="n"/>
      <c r="L41" s="175" t="n"/>
      <c r="M41" s="175" t="n"/>
      <c r="N41" s="175" t="n"/>
      <c r="O41" s="175" t="n"/>
      <c r="P41" s="175" t="n"/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>
      <c r="B52" s="136" t="inlineStr">
        <is>
          <t>Impresso por (Produção):</t>
        </is>
      </c>
      <c r="C52" s="210" t="n"/>
      <c r="D52" s="211" t="n"/>
      <c r="E52" s="137" t="n"/>
      <c r="F52" s="210" t="n"/>
      <c r="G52" s="211" t="n"/>
      <c r="I52" s="136" t="inlineStr">
        <is>
          <t>Conferido por (Responsável pelo Setor):</t>
        </is>
      </c>
      <c r="J52" s="210" t="n"/>
      <c r="K52" s="210" t="n"/>
      <c r="L52" s="210" t="n"/>
      <c r="M52" s="211" t="n"/>
      <c r="N52" s="137" t="n"/>
      <c r="O52" s="210" t="n"/>
      <c r="P52" s="211" t="n"/>
    </row>
    <row r="53" ht="12.75" customHeight="1"/>
    <row r="54" ht="12.75" customHeight="1"/>
  </sheetData>
  <sheetProtection selectLockedCells="1" selectUnlockedCells="0" algorithmName="SHA-512" sheet="1" objects="1" insertRows="1" insertHyperlinks="1" autoFilter="0" scenarios="1" formatColumns="1" deleteColumns="1" insertColumns="1" pivotTables="1" deleteRows="1" formatCells="1" saltValue="HXsdd+rKEMLg0UcWMtMcpQ==" formatRows="1" sort="1" spinCount="100000" hashValue="JGWyHqVA9QgM86QxN+rTG+tx0tjgzwtcOimk0NVF6VGgD7vJS4Cp6DsmBl5J1SnMCGf9J3tTzS+W23HNyhuvCg=="/>
  <mergeCells count="47">
    <mergeCell ref="O7:P7"/>
    <mergeCell ref="A5:D5"/>
    <mergeCell ref="L7:M7"/>
    <mergeCell ref="N2:P2"/>
    <mergeCell ref="N52:P52"/>
    <mergeCell ref="O6:P6"/>
    <mergeCell ref="N1:P1"/>
    <mergeCell ref="B31:C31"/>
    <mergeCell ref="B1:M1"/>
    <mergeCell ref="F7:G7"/>
    <mergeCell ref="B39:C39"/>
    <mergeCell ref="O5:P5"/>
    <mergeCell ref="A7:E7"/>
    <mergeCell ref="A9:P9"/>
    <mergeCell ref="L8:M8"/>
    <mergeCell ref="J5:M5"/>
    <mergeCell ref="D10:P10"/>
    <mergeCell ref="F6:I6"/>
    <mergeCell ref="F8:G8"/>
    <mergeCell ref="A1:A3"/>
    <mergeCell ref="B38:C38"/>
    <mergeCell ref="B2:M3"/>
    <mergeCell ref="A6:D6"/>
    <mergeCell ref="H7:I7"/>
    <mergeCell ref="B34:C34"/>
    <mergeCell ref="B37:C37"/>
    <mergeCell ref="J7:K7"/>
    <mergeCell ref="B28:C28"/>
    <mergeCell ref="I52:M52"/>
    <mergeCell ref="J6:M6"/>
    <mergeCell ref="B40:C40"/>
    <mergeCell ref="A8:E8"/>
    <mergeCell ref="D25:P26"/>
    <mergeCell ref="F5:I5"/>
    <mergeCell ref="A41:P41"/>
    <mergeCell ref="O8:P8"/>
    <mergeCell ref="B30:C30"/>
    <mergeCell ref="E52:G52"/>
    <mergeCell ref="B33:C33"/>
    <mergeCell ref="A27:P27"/>
    <mergeCell ref="B36:C36"/>
    <mergeCell ref="B52:D52"/>
    <mergeCell ref="B32:C32"/>
    <mergeCell ref="H8:I8"/>
    <mergeCell ref="J8:K8"/>
    <mergeCell ref="B35:C35"/>
    <mergeCell ref="N3:P3"/>
  </mergeCells>
  <conditionalFormatting sqref="B25:C25">
    <cfRule type="uniqueValues" priority="2" dxfId="3"/>
  </conditionalFormatting>
  <conditionalFormatting sqref="B26:C26">
    <cfRule type="uniqueValues" priority="1" dxfId="3"/>
  </conditionalFormatting>
  <conditionalFormatting sqref="D28:P28 D31:P40">
    <cfRule type="cellIs" priority="3" operator="between" dxfId="2" stopIfTrue="1">
      <formula>$L$7</formula>
      <formula>$L$8</formula>
    </cfRule>
    <cfRule type="cellIs" priority="4" operator="between" dxfId="0" stopIfTrue="1">
      <formula>0</formula>
      <formula>$L$7</formula>
    </cfRule>
    <cfRule type="cellIs" priority="5" operator="greaterThan" dxfId="0" stopIfTrue="1">
      <formula>$L$8</formula>
    </cfRule>
  </conditionalFormatting>
  <printOptions horizontalCentered="1"/>
  <pageMargins left="0.5118110236220472" right="0.5118110236220472" top="0.3937007874015748" bottom="0.1968503937007874" header="0.3149606299212598" footer="0"/>
  <pageSetup orientation="landscape" paperSize="9" scale="79" fitToWidth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pcp</dc:creator>
  <dcterms:created xmlns:dcterms="http://purl.org/dc/terms/" xmlns:xsi="http://www.w3.org/2001/XMLSchema-instance" xsi:type="dcterms:W3CDTF">2006-01-30T13:21:03Z</dcterms:created>
  <dcterms:modified xmlns:dcterms="http://purl.org/dc/terms/" xmlns:xsi="http://www.w3.org/2001/XMLSchema-instance" xsi:type="dcterms:W3CDTF">2026-09-29T12:07:28Z</dcterms:modified>
  <cp:lastModifiedBy>Hian Claudio</cp:lastModifiedBy>
  <cp:lastPrinted>2026-09-23T20:14:53Z</cp:lastPrinted>
</cp:coreProperties>
</file>