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hclaudio\Desktop\"/>
    </mc:Choice>
  </mc:AlternateContent>
  <xr:revisionPtr revIDLastSave="0" documentId="13_ncr:1_{B8994DA2-7742-45C1-8682-99DF1202B64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Volume pela Densidade (2)" sheetId="5" r:id="rId1"/>
  </sheets>
  <definedNames>
    <definedName name="_xlnm.Print_Area" localSheetId="0">'Volume pela Densidade (2)'!$A$1:$Q$53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0" i="5" l="1"/>
  <c r="O30" i="5"/>
  <c r="N30" i="5"/>
  <c r="M30" i="5"/>
  <c r="L30" i="5"/>
  <c r="K30" i="5"/>
  <c r="J30" i="5"/>
  <c r="I30" i="5"/>
  <c r="H30" i="5"/>
  <c r="G30" i="5"/>
  <c r="F30" i="5"/>
  <c r="E30" i="5"/>
  <c r="D30" i="5"/>
  <c r="C25" i="5"/>
  <c r="H8" i="5" s="1"/>
  <c r="B25" i="5"/>
  <c r="L8" i="5"/>
  <c r="L7" i="5"/>
  <c r="H7" i="5"/>
  <c r="P40" i="5" l="1"/>
  <c r="L40" i="5"/>
  <c r="H40" i="5"/>
  <c r="D40" i="5"/>
  <c r="M39" i="5"/>
  <c r="I39" i="5"/>
  <c r="E39" i="5"/>
  <c r="N38" i="5"/>
  <c r="J38" i="5"/>
  <c r="F38" i="5"/>
  <c r="O37" i="5"/>
  <c r="K37" i="5"/>
  <c r="G37" i="5"/>
  <c r="P36" i="5"/>
  <c r="L36" i="5"/>
  <c r="H36" i="5"/>
  <c r="D36" i="5"/>
  <c r="M35" i="5"/>
  <c r="I35" i="5"/>
  <c r="E35" i="5"/>
  <c r="N34" i="5"/>
  <c r="J34" i="5"/>
  <c r="F34" i="5"/>
  <c r="O33" i="5"/>
  <c r="K33" i="5"/>
  <c r="G33" i="5"/>
  <c r="P32" i="5"/>
  <c r="L32" i="5"/>
  <c r="H32" i="5"/>
  <c r="D32" i="5"/>
  <c r="M31" i="5"/>
  <c r="M28" i="5" s="1"/>
  <c r="I31" i="5"/>
  <c r="I28" i="5" s="1"/>
  <c r="E31" i="5"/>
  <c r="E28" i="5" s="1"/>
  <c r="O40" i="5"/>
  <c r="K40" i="5"/>
  <c r="G40" i="5"/>
  <c r="P39" i="5"/>
  <c r="L39" i="5"/>
  <c r="H39" i="5"/>
  <c r="D39" i="5"/>
  <c r="M38" i="5"/>
  <c r="I38" i="5"/>
  <c r="E38" i="5"/>
  <c r="N37" i="5"/>
  <c r="J37" i="5"/>
  <c r="F37" i="5"/>
  <c r="O36" i="5"/>
  <c r="K36" i="5"/>
  <c r="G36" i="5"/>
  <c r="P35" i="5"/>
  <c r="L35" i="5"/>
  <c r="H35" i="5"/>
  <c r="D35" i="5"/>
  <c r="M34" i="5"/>
  <c r="I34" i="5"/>
  <c r="E34" i="5"/>
  <c r="N33" i="5"/>
  <c r="J33" i="5"/>
  <c r="F33" i="5"/>
  <c r="O32" i="5"/>
  <c r="K32" i="5"/>
  <c r="G32" i="5"/>
  <c r="P31" i="5"/>
  <c r="P28" i="5" s="1"/>
  <c r="L31" i="5"/>
  <c r="L28" i="5" s="1"/>
  <c r="H31" i="5"/>
  <c r="H28" i="5" s="1"/>
  <c r="D31" i="5"/>
  <c r="D28" i="5" s="1"/>
  <c r="N40" i="5"/>
  <c r="J40" i="5"/>
  <c r="F40" i="5"/>
  <c r="O39" i="5"/>
  <c r="K39" i="5"/>
  <c r="G39" i="5"/>
  <c r="P38" i="5"/>
  <c r="L38" i="5"/>
  <c r="H38" i="5"/>
  <c r="D38" i="5"/>
  <c r="M37" i="5"/>
  <c r="I37" i="5"/>
  <c r="E37" i="5"/>
  <c r="N36" i="5"/>
  <c r="J36" i="5"/>
  <c r="F36" i="5"/>
  <c r="O35" i="5"/>
  <c r="K35" i="5"/>
  <c r="G35" i="5"/>
  <c r="P34" i="5"/>
  <c r="L34" i="5"/>
  <c r="H34" i="5"/>
  <c r="D34" i="5"/>
  <c r="M33" i="5"/>
  <c r="I33" i="5"/>
  <c r="E33" i="5"/>
  <c r="N32" i="5"/>
  <c r="J32" i="5"/>
  <c r="F32" i="5"/>
  <c r="O31" i="5"/>
  <c r="O28" i="5" s="1"/>
  <c r="K31" i="5"/>
  <c r="K28" i="5" s="1"/>
  <c r="G31" i="5"/>
  <c r="G28" i="5" s="1"/>
  <c r="M40" i="5"/>
  <c r="I40" i="5"/>
  <c r="E40" i="5"/>
  <c r="N39" i="5"/>
  <c r="J39" i="5"/>
  <c r="F39" i="5"/>
  <c r="O38" i="5"/>
  <c r="K38" i="5"/>
  <c r="G38" i="5"/>
  <c r="P37" i="5"/>
  <c r="L37" i="5"/>
  <c r="H37" i="5"/>
  <c r="D37" i="5"/>
  <c r="M36" i="5"/>
  <c r="I36" i="5"/>
  <c r="E36" i="5"/>
  <c r="N35" i="5"/>
  <c r="J35" i="5"/>
  <c r="F35" i="5"/>
  <c r="O34" i="5"/>
  <c r="K34" i="5"/>
  <c r="G34" i="5"/>
  <c r="P33" i="5"/>
  <c r="L33" i="5"/>
  <c r="H33" i="5"/>
  <c r="D33" i="5"/>
  <c r="M32" i="5"/>
  <c r="I32" i="5"/>
  <c r="E32" i="5"/>
  <c r="N31" i="5"/>
  <c r="N28" i="5" s="1"/>
  <c r="J31" i="5"/>
  <c r="J28" i="5" s="1"/>
  <c r="F31" i="5"/>
  <c r="F28" i="5" s="1"/>
</calcChain>
</file>

<file path=xl/sharedStrings.xml><?xml version="1.0" encoding="utf-8"?>
<sst xmlns="http://schemas.openxmlformats.org/spreadsheetml/2006/main" count="52" uniqueCount="52">
  <si>
    <t>REGISTRO DE QUALIDADE</t>
  </si>
  <si>
    <t>PÁGINA 1 DE 1</t>
  </si>
  <si>
    <t>PRODUTO</t>
  </si>
  <si>
    <t>LOTE</t>
  </si>
  <si>
    <t>VARIAÇÃO PERMITIDA (%)</t>
  </si>
  <si>
    <t>PESO</t>
  </si>
  <si>
    <t xml:space="preserve">VOLUME </t>
  </si>
  <si>
    <t>OBS.: O VOLUME NÃO PODE SER INFERIOR AO DECLARADO</t>
  </si>
  <si>
    <t>PRODUÇÃO</t>
  </si>
  <si>
    <t>VOLUME MÉDIO DURANTE O PROCESSO (ml)</t>
  </si>
  <si>
    <t>Impresso por (Produção):</t>
  </si>
  <si>
    <t>Conferido por (Responsável pelo Setor):</t>
  </si>
  <si>
    <t>REALIZADO POR:</t>
  </si>
  <si>
    <t>DATA:</t>
  </si>
  <si>
    <t>1º peso (g)</t>
  </si>
  <si>
    <t>2º peso (g)</t>
  </si>
  <si>
    <t>3º peso (g)</t>
  </si>
  <si>
    <t>4º peso (g)</t>
  </si>
  <si>
    <t>5º peso (g)</t>
  </si>
  <si>
    <t>6º peso (g)</t>
  </si>
  <si>
    <t>7º peso (g)</t>
  </si>
  <si>
    <t>8º peso (g)</t>
  </si>
  <si>
    <t>9º peso (g)</t>
  </si>
  <si>
    <t>10º peso (g)</t>
  </si>
  <si>
    <t>1º volume (mL)</t>
  </si>
  <si>
    <t>2º volume (mL)</t>
  </si>
  <si>
    <t>3º volume (mL)</t>
  </si>
  <si>
    <t>4º volume (mL)</t>
  </si>
  <si>
    <t>5º volume (mL)</t>
  </si>
  <si>
    <t>6º volume (mL)</t>
  </si>
  <si>
    <t>7º volume (mL)</t>
  </si>
  <si>
    <t>8º volume (mL)</t>
  </si>
  <si>
    <t>9º volume (mL)</t>
  </si>
  <si>
    <t>10º volume (mL)</t>
  </si>
  <si>
    <t>HORA:</t>
  </si>
  <si>
    <t>Mínimo (mL)</t>
  </si>
  <si>
    <t>Máximo (mL)</t>
  </si>
  <si>
    <t>VOLUME DECLARADO (mL)</t>
  </si>
  <si>
    <t>MÉDIA (mL)</t>
  </si>
  <si>
    <t>Máquina Envase (TAG)</t>
  </si>
  <si>
    <t>Peso Emb. Primária (g)</t>
  </si>
  <si>
    <t>Densidade (g/mL)</t>
  </si>
  <si>
    <t>FICHA DE CONTROLE EM PROCESSO DE VOLUME 
PELA DENSIDADE DE SUPLEMENTO LÍQUIDO</t>
  </si>
  <si>
    <t>peso ME 1</t>
  </si>
  <si>
    <t>peso ME 2</t>
  </si>
  <si>
    <t>média</t>
  </si>
  <si>
    <t>Densidade</t>
  </si>
  <si>
    <t>Linha</t>
  </si>
  <si>
    <t>TAG Balança</t>
  </si>
  <si>
    <t>Legenda: Se os valores de média e densidade estiverem diferentes, ficarão vermelhos e deverão ser reavaliados.</t>
  </si>
  <si>
    <t>RQ 6308 REV 03</t>
  </si>
  <si>
    <t xml:space="preserve">FREQUÊNCIA: A CADA 30 MINUTOS, COM TOLERÂNCIA DE 10 MINUTOS.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</si>
</sst>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F400]h:mm:ss\ AM/PM"/>
    <numFmt numFmtId="165" formatCode="0\ &quot;ml&quot;"/>
    <numFmt numFmtId="166" formatCode="h:mm;@"/>
    <numFmt numFmtId="167" formatCode="dd/mm/yy;@"/>
    <numFmt numFmtId="168" formatCode="0.0000\ &quot;g/mL&quot;"/>
    <numFmt numFmtId="169" formatCode="0.00\ &quot;g&quot;"/>
  </numFmts>
  <fonts count="12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7"/>
      <color rgb="FF000000"/>
      <name val="Arial"/>
      <family val="2"/>
    </font>
    <font>
      <sz val="7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theme="0" tint="-0.25098422193060094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auto="1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1">
    <border>
      <left/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1">
    <xf numFmtId="0" fontId="0" fillId="0" borderId="0" xfId="0"/>
    <xf numFmtId="2" fontId="2" fillId="4" borderId="28" xfId="0" applyNumberFormat="1" applyFont="1" applyFill="1" applyBorder="1" applyAlignment="1" applyProtection="1">
      <alignment horizontal="center" vertical="center"/>
      <protection locked="0"/>
    </xf>
    <xf numFmtId="2" fontId="2" fillId="4" borderId="5" xfId="0" applyNumberFormat="1" applyFont="1" applyFill="1" applyBorder="1" applyAlignment="1" applyProtection="1">
      <alignment horizontal="center" vertical="center"/>
      <protection locked="0"/>
    </xf>
    <xf numFmtId="2" fontId="2" fillId="4" borderId="26" xfId="0" applyNumberFormat="1" applyFont="1" applyFill="1" applyBorder="1" applyAlignment="1" applyProtection="1">
      <alignment horizontal="center" vertical="center"/>
      <protection locked="0"/>
    </xf>
    <xf numFmtId="0" fontId="9" fillId="6" borderId="18" xfId="0" applyFont="1" applyFill="1" applyBorder="1" applyAlignment="1" applyProtection="1">
      <alignment horizontal="center" vertical="center" wrapText="1"/>
      <protection locked="0"/>
    </xf>
    <xf numFmtId="2" fontId="2" fillId="6" borderId="28" xfId="0" applyNumberFormat="1" applyFont="1" applyFill="1" applyBorder="1" applyAlignment="1" applyProtection="1">
      <alignment horizontal="center" vertical="center"/>
      <protection locked="0"/>
    </xf>
    <xf numFmtId="2" fontId="2" fillId="6" borderId="5" xfId="0" applyNumberFormat="1" applyFont="1" applyFill="1" applyBorder="1" applyAlignment="1" applyProtection="1">
      <alignment horizontal="center" vertical="center"/>
      <protection locked="0"/>
    </xf>
    <xf numFmtId="2" fontId="2" fillId="6" borderId="26" xfId="0" applyNumberFormat="1" applyFont="1" applyFill="1" applyBorder="1" applyAlignment="1" applyProtection="1">
      <alignment horizontal="center" vertical="center"/>
      <protection locked="0"/>
    </xf>
    <xf numFmtId="2" fontId="2" fillId="6" borderId="19" xfId="0" applyNumberFormat="1" applyFont="1" applyFill="1" applyBorder="1" applyAlignment="1" applyProtection="1">
      <alignment horizontal="center" vertical="center"/>
      <protection locked="0"/>
    </xf>
    <xf numFmtId="2" fontId="2" fillId="6" borderId="29" xfId="0" applyNumberFormat="1" applyFont="1" applyFill="1" applyBorder="1" applyAlignment="1" applyProtection="1">
      <alignment horizontal="center" vertical="center"/>
      <protection locked="0"/>
    </xf>
    <xf numFmtId="2" fontId="2" fillId="6" borderId="27" xfId="0" applyNumberFormat="1" applyFont="1" applyFill="1" applyBorder="1" applyAlignment="1" applyProtection="1">
      <alignment horizontal="center" vertical="center"/>
      <protection locked="0"/>
    </xf>
    <xf numFmtId="0" fontId="2" fillId="6" borderId="28" xfId="0" applyFont="1" applyFill="1" applyBorder="1" applyAlignment="1" applyProtection="1">
      <alignment horizontal="center" vertical="center"/>
      <protection locked="0"/>
    </xf>
    <xf numFmtId="0" fontId="2" fillId="6" borderId="14" xfId="0" applyFont="1" applyFill="1" applyBorder="1" applyAlignment="1" applyProtection="1">
      <alignment horizontal="center" vertical="center"/>
      <protection locked="0"/>
    </xf>
    <xf numFmtId="0" fontId="2" fillId="6" borderId="15" xfId="0" applyFont="1" applyFill="1" applyBorder="1" applyAlignment="1" applyProtection="1">
      <alignment horizontal="center" vertical="center"/>
      <protection locked="0"/>
    </xf>
    <xf numFmtId="167" fontId="2" fillId="8" borderId="38" xfId="0" applyNumberFormat="1" applyFont="1" applyFill="1" applyBorder="1" applyAlignment="1" applyProtection="1">
      <alignment horizontal="center" vertical="center"/>
      <protection locked="0"/>
    </xf>
    <xf numFmtId="167" fontId="2" fillId="8" borderId="37" xfId="0" applyNumberFormat="1" applyFont="1" applyFill="1" applyBorder="1" applyAlignment="1" applyProtection="1">
      <alignment horizontal="center" vertical="center"/>
      <protection locked="0"/>
    </xf>
    <xf numFmtId="167" fontId="2" fillId="8" borderId="39" xfId="0" applyNumberFormat="1" applyFont="1" applyFill="1" applyBorder="1" applyAlignment="1" applyProtection="1">
      <alignment horizontal="center" vertical="center"/>
      <protection locked="0"/>
    </xf>
    <xf numFmtId="166" fontId="2" fillId="6" borderId="40" xfId="0" applyNumberFormat="1" applyFont="1" applyFill="1" applyBorder="1" applyAlignment="1" applyProtection="1">
      <alignment horizontal="center" vertical="center"/>
      <protection locked="0"/>
    </xf>
    <xf numFmtId="166" fontId="2" fillId="6" borderId="41" xfId="0" applyNumberFormat="1" applyFont="1" applyFill="1" applyBorder="1" applyAlignment="1" applyProtection="1">
      <alignment horizontal="center" vertical="center"/>
      <protection locked="0"/>
    </xf>
    <xf numFmtId="166" fontId="2" fillId="6" borderId="42" xfId="0" applyNumberFormat="1" applyFont="1" applyFill="1" applyBorder="1" applyAlignment="1" applyProtection="1">
      <alignment horizontal="center" vertical="center"/>
      <protection locked="0"/>
    </xf>
    <xf numFmtId="0" fontId="2" fillId="9" borderId="13" xfId="0" applyFont="1" applyFill="1" applyBorder="1" applyAlignment="1" applyProtection="1">
      <alignment horizontal="center" vertical="center"/>
      <protection locked="0"/>
    </xf>
    <xf numFmtId="0" fontId="2" fillId="9" borderId="19" xfId="0" applyFont="1" applyFill="1" applyBorder="1" applyAlignment="1" applyProtection="1">
      <alignment horizontal="center" vertical="center"/>
      <protection locked="0"/>
    </xf>
    <xf numFmtId="168" fontId="3" fillId="6" borderId="2" xfId="0" applyNumberFormat="1" applyFont="1" applyFill="1" applyBorder="1" applyAlignment="1" applyProtection="1">
      <alignment vertical="center"/>
      <protection locked="0"/>
    </xf>
    <xf numFmtId="168" fontId="3" fillId="6" borderId="3" xfId="0" applyNumberFormat="1" applyFont="1" applyFill="1" applyBorder="1" applyAlignment="1" applyProtection="1">
      <alignment vertical="center"/>
      <protection locked="0"/>
    </xf>
    <xf numFmtId="2" fontId="2" fillId="0" borderId="0" xfId="0" applyNumberFormat="1" applyFont="1" applyAlignment="1" applyProtection="1">
      <alignment horizontal="center" vertical="center"/>
      <protection locked="0"/>
    </xf>
    <xf numFmtId="20" fontId="2" fillId="9" borderId="30" xfId="0" applyNumberFormat="1" applyFont="1" applyFill="1" applyBorder="1" applyAlignment="1" applyProtection="1">
      <alignment horizontal="center" vertical="center"/>
      <protection locked="0"/>
    </xf>
    <xf numFmtId="20" fontId="2" fillId="9" borderId="27" xfId="0" applyNumberFormat="1" applyFont="1" applyFill="1" applyBorder="1" applyAlignment="1" applyProtection="1">
      <alignment horizontal="center" vertical="center"/>
      <protection locked="0"/>
    </xf>
    <xf numFmtId="20" fontId="2" fillId="6" borderId="26" xfId="0" applyNumberFormat="1" applyFont="1" applyFill="1" applyBorder="1" applyAlignment="1" applyProtection="1">
      <alignment horizontal="center" vertical="center"/>
      <protection locked="0"/>
    </xf>
    <xf numFmtId="20" fontId="2" fillId="6" borderId="27" xfId="0" applyNumberFormat="1" applyFont="1" applyFill="1" applyBorder="1" applyAlignment="1" applyProtection="1">
      <alignment horizontal="center" vertical="center"/>
      <protection locked="0"/>
    </xf>
    <xf numFmtId="169" fontId="3" fillId="10" borderId="13" xfId="0" applyNumberFormat="1" applyFont="1" applyFill="1" applyBorder="1" applyAlignment="1" applyProtection="1">
      <alignment horizontal="center" vertical="center"/>
      <protection locked="0"/>
    </xf>
    <xf numFmtId="169" fontId="3" fillId="10" borderId="15" xfId="0" applyNumberFormat="1" applyFont="1" applyFill="1" applyBorder="1" applyAlignment="1" applyProtection="1">
      <alignment horizontal="center" vertical="center"/>
      <protection locked="0"/>
    </xf>
    <xf numFmtId="169" fontId="3" fillId="10" borderId="38" xfId="0" applyNumberFormat="1" applyFont="1" applyFill="1" applyBorder="1" applyAlignment="1" applyProtection="1">
      <alignment horizontal="center" vertical="center"/>
      <protection locked="0"/>
    </xf>
    <xf numFmtId="169" fontId="3" fillId="10" borderId="47" xfId="0" applyNumberFormat="1" applyFont="1" applyFill="1" applyBorder="1" applyAlignment="1" applyProtection="1">
      <alignment horizontal="center" vertical="center"/>
      <protection locked="0"/>
    </xf>
    <xf numFmtId="169" fontId="3" fillId="10" borderId="11" xfId="0" applyNumberFormat="1" applyFont="1" applyFill="1" applyBorder="1" applyAlignment="1" applyProtection="1">
      <alignment horizontal="center" vertical="center"/>
      <protection locked="0"/>
    </xf>
    <xf numFmtId="169" fontId="3" fillId="10" borderId="17" xfId="0" applyNumberFormat="1" applyFont="1" applyFill="1" applyBorder="1" applyAlignment="1" applyProtection="1">
      <alignment horizontal="center" vertical="center"/>
      <protection locked="0"/>
    </xf>
    <xf numFmtId="0" fontId="8" fillId="6" borderId="34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3" fillId="2" borderId="19" xfId="0" applyFont="1" applyFill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right"/>
      <protection locked="0"/>
    </xf>
    <xf numFmtId="0" fontId="3" fillId="2" borderId="20" xfId="0" applyFont="1" applyFill="1" applyBorder="1" applyAlignment="1" applyProtection="1">
      <alignment horizontal="center" vertical="center"/>
      <protection locked="0"/>
    </xf>
    <xf numFmtId="0" fontId="1" fillId="3" borderId="20" xfId="0" applyFont="1" applyFill="1" applyBorder="1" applyAlignment="1" applyProtection="1">
      <alignment horizontal="center"/>
      <protection locked="0"/>
    </xf>
    <xf numFmtId="0" fontId="1" fillId="3" borderId="31" xfId="0" applyFont="1" applyFill="1" applyBorder="1" applyAlignment="1" applyProtection="1">
      <alignment horizontal="center"/>
      <protection locked="0"/>
    </xf>
    <xf numFmtId="0" fontId="1" fillId="3" borderId="22" xfId="0" applyFont="1" applyFill="1" applyBorder="1" applyAlignment="1" applyProtection="1">
      <alignment horizontal="center"/>
      <protection locked="0"/>
    </xf>
    <xf numFmtId="0" fontId="3" fillId="0" borderId="43" xfId="0" applyFont="1" applyBorder="1" applyAlignment="1" applyProtection="1">
      <alignment horizontal="right"/>
      <protection locked="0"/>
    </xf>
    <xf numFmtId="0" fontId="3" fillId="0" borderId="44" xfId="0" applyFont="1" applyBorder="1" applyAlignment="1" applyProtection="1">
      <alignment horizontal="right"/>
      <protection locked="0"/>
    </xf>
    <xf numFmtId="0" fontId="3" fillId="0" borderId="25" xfId="0" applyFont="1" applyBorder="1" applyAlignment="1" applyProtection="1">
      <alignment horizontal="right"/>
      <protection locked="0"/>
    </xf>
    <xf numFmtId="0" fontId="3" fillId="0" borderId="45" xfId="0" applyFont="1" applyBorder="1" applyAlignment="1" applyProtection="1">
      <alignment horizontal="right"/>
      <protection locked="0"/>
    </xf>
    <xf numFmtId="0" fontId="2" fillId="3" borderId="46" xfId="0" applyFont="1" applyFill="1" applyBorder="1" applyAlignment="1" applyProtection="1">
      <alignment horizontal="right"/>
      <protection locked="0"/>
    </xf>
    <xf numFmtId="0" fontId="2" fillId="3" borderId="25" xfId="0" applyFont="1" applyFill="1" applyBorder="1" applyAlignment="1" applyProtection="1">
      <alignment horizontal="right"/>
      <protection locked="0"/>
    </xf>
    <xf numFmtId="0" fontId="2" fillId="3" borderId="34" xfId="0" applyFont="1" applyFill="1" applyBorder="1" applyAlignment="1" applyProtection="1">
      <alignment horizontal="right" vertical="center"/>
      <protection locked="0"/>
    </xf>
    <xf numFmtId="169" fontId="3" fillId="0" borderId="48" xfId="0" applyNumberFormat="1" applyFont="1" applyBorder="1" applyAlignment="1" applyProtection="1">
      <alignment horizontal="center" vertical="center"/>
      <protection locked="0" hidden="1"/>
    </xf>
    <xf numFmtId="0" fontId="1" fillId="3" borderId="34" xfId="0" applyFont="1" applyFill="1" applyBorder="1" applyAlignment="1" applyProtection="1">
      <alignment horizontal="right" vertic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2" fontId="1" fillId="6" borderId="28" xfId="0" applyNumberFormat="1" applyFont="1" applyFill="1" applyBorder="1" applyAlignment="1" applyProtection="1">
      <alignment horizontal="center" vertical="center"/>
      <protection locked="0"/>
    </xf>
    <xf numFmtId="2" fontId="1" fillId="0" borderId="14" xfId="0" applyNumberFormat="1" applyFont="1" applyBorder="1" applyAlignment="1" applyProtection="1">
      <alignment horizontal="center" vertical="center"/>
      <protection locked="0"/>
    </xf>
    <xf numFmtId="2" fontId="1" fillId="6" borderId="14" xfId="0" applyNumberFormat="1" applyFont="1" applyFill="1" applyBorder="1" applyAlignment="1" applyProtection="1">
      <alignment horizontal="center" vertical="center"/>
      <protection locked="0"/>
    </xf>
    <xf numFmtId="2" fontId="1" fillId="6" borderId="15" xfId="0" applyNumberFormat="1" applyFont="1" applyFill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 vertical="center"/>
      <protection locked="0"/>
    </xf>
    <xf numFmtId="164" fontId="1" fillId="0" borderId="23" xfId="0" applyNumberFormat="1" applyFont="1" applyBorder="1" applyAlignment="1" applyProtection="1">
      <alignment horizontal="center" vertical="center"/>
      <protection locked="0"/>
    </xf>
    <xf numFmtId="2" fontId="2" fillId="0" borderId="5" xfId="0" applyNumberFormat="1" applyFont="1" applyBorder="1" applyAlignment="1" applyProtection="1">
      <alignment horizontal="center" vertical="center"/>
      <protection locked="0"/>
    </xf>
    <xf numFmtId="2" fontId="2" fillId="6" borderId="8" xfId="0" applyNumberFormat="1" applyFont="1" applyFill="1" applyBorder="1" applyAlignment="1" applyProtection="1">
      <alignment horizontal="center" vertical="center"/>
      <protection locked="0"/>
    </xf>
    <xf numFmtId="2" fontId="2" fillId="0" borderId="8" xfId="0" applyNumberFormat="1" applyFont="1" applyBorder="1" applyAlignment="1" applyProtection="1">
      <alignment horizontal="center" vertical="center"/>
      <protection locked="0"/>
    </xf>
    <xf numFmtId="2" fontId="2" fillId="6" borderId="18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/>
    <xf numFmtId="0" fontId="2" fillId="0" borderId="9" xfId="0" applyFont="1" applyBorder="1" applyAlignment="1" applyProtection="1">
      <alignment horizontal="center"/>
      <protection locked="0"/>
    </xf>
    <xf numFmtId="0" fontId="2" fillId="0" borderId="6" xfId="0" applyFont="1" applyBorder="1" applyAlignment="1" applyProtection="1">
      <alignment horizontal="center"/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4" fillId="0" borderId="20" xfId="0" applyFont="1" applyBorder="1" applyAlignment="1" applyProtection="1">
      <alignment horizontal="center" vertical="center"/>
      <protection locked="0"/>
    </xf>
    <xf numFmtId="0" fontId="4" fillId="0" borderId="21" xfId="0" applyFont="1" applyBorder="1" applyAlignment="1" applyProtection="1">
      <alignment horizontal="center" vertical="center"/>
      <protection locked="0"/>
    </xf>
    <xf numFmtId="0" fontId="4" fillId="0" borderId="22" xfId="0" applyFont="1" applyBorder="1" applyAlignment="1" applyProtection="1">
      <alignment horizontal="center" vertical="center"/>
      <protection locked="0"/>
    </xf>
    <xf numFmtId="0" fontId="1" fillId="0" borderId="20" xfId="0" applyFont="1" applyBorder="1" applyAlignment="1" applyProtection="1">
      <alignment horizontal="center" vertical="center"/>
      <protection locked="0"/>
    </xf>
    <xf numFmtId="0" fontId="1" fillId="0" borderId="21" xfId="0" applyFont="1" applyBorder="1" applyAlignment="1" applyProtection="1">
      <alignment horizontal="center" vertical="center"/>
      <protection locked="0"/>
    </xf>
    <xf numFmtId="0" fontId="1" fillId="0" borderId="22" xfId="0" applyFont="1" applyBorder="1" applyAlignment="1" applyProtection="1">
      <alignment horizontal="center" vertical="center"/>
      <protection locked="0"/>
    </xf>
    <xf numFmtId="0" fontId="4" fillId="0" borderId="20" xfId="0" applyFont="1" applyBorder="1" applyAlignment="1" applyProtection="1">
      <alignment horizontal="center" vertical="center" wrapText="1"/>
      <protection locked="0"/>
    </xf>
    <xf numFmtId="0" fontId="4" fillId="0" borderId="25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0" fontId="4" fillId="0" borderId="27" xfId="0" applyFont="1" applyBorder="1" applyAlignment="1" applyProtection="1">
      <alignment horizontal="center" vertical="center"/>
      <protection locked="0"/>
    </xf>
    <xf numFmtId="0" fontId="1" fillId="0" borderId="20" xfId="0" applyFont="1" applyBorder="1" applyAlignment="1" applyProtection="1">
      <alignment horizontal="center" vertical="center" wrapText="1"/>
      <protection locked="0"/>
    </xf>
    <xf numFmtId="0" fontId="1" fillId="0" borderId="21" xfId="0" applyFont="1" applyBorder="1" applyAlignment="1" applyProtection="1">
      <alignment horizontal="center" vertical="center" wrapText="1"/>
      <protection locked="0"/>
    </xf>
    <xf numFmtId="0" fontId="1" fillId="0" borderId="22" xfId="0" applyFont="1" applyBorder="1" applyAlignment="1" applyProtection="1">
      <alignment horizontal="center" vertical="center" wrapText="1"/>
      <protection locked="0"/>
    </xf>
    <xf numFmtId="0" fontId="1" fillId="0" borderId="34" xfId="0" applyFont="1" applyBorder="1" applyAlignment="1" applyProtection="1">
      <alignment horizontal="center" vertical="center"/>
      <protection locked="0"/>
    </xf>
    <xf numFmtId="0" fontId="1" fillId="0" borderId="24" xfId="0" applyFont="1" applyBorder="1" applyAlignment="1" applyProtection="1">
      <alignment horizontal="center" vertical="center"/>
      <protection locked="0"/>
    </xf>
    <xf numFmtId="0" fontId="1" fillId="0" borderId="23" xfId="0" applyFont="1" applyBorder="1" applyAlignment="1" applyProtection="1">
      <alignment horizontal="center" vertical="center"/>
      <protection locked="0"/>
    </xf>
    <xf numFmtId="0" fontId="3" fillId="2" borderId="34" xfId="0" applyFont="1" applyFill="1" applyBorder="1" applyAlignment="1" applyProtection="1">
      <alignment horizontal="center"/>
      <protection locked="0"/>
    </xf>
    <xf numFmtId="0" fontId="3" fillId="2" borderId="23" xfId="0" applyFont="1" applyFill="1" applyBorder="1" applyAlignment="1" applyProtection="1">
      <alignment horizontal="center"/>
      <protection locked="0"/>
    </xf>
    <xf numFmtId="0" fontId="3" fillId="5" borderId="13" xfId="0" applyFont="1" applyFill="1" applyBorder="1" applyAlignment="1" applyProtection="1">
      <alignment horizontal="center"/>
      <protection locked="0"/>
    </xf>
    <xf numFmtId="0" fontId="3" fillId="5" borderId="14" xfId="0" applyFont="1" applyFill="1" applyBorder="1" applyAlignment="1" applyProtection="1">
      <alignment horizontal="center"/>
      <protection locked="0"/>
    </xf>
    <xf numFmtId="0" fontId="3" fillId="5" borderId="15" xfId="0" applyFont="1" applyFill="1" applyBorder="1" applyAlignment="1" applyProtection="1">
      <alignment horizontal="center"/>
      <protection locked="0"/>
    </xf>
    <xf numFmtId="0" fontId="3" fillId="2" borderId="13" xfId="0" applyFont="1" applyFill="1" applyBorder="1" applyAlignment="1" applyProtection="1">
      <alignment horizontal="center"/>
      <protection locked="0"/>
    </xf>
    <xf numFmtId="0" fontId="3" fillId="2" borderId="14" xfId="0" applyFont="1" applyFill="1" applyBorder="1" applyAlignment="1" applyProtection="1">
      <alignment horizontal="center"/>
      <protection locked="0"/>
    </xf>
    <xf numFmtId="0" fontId="3" fillId="2" borderId="15" xfId="0" applyFont="1" applyFill="1" applyBorder="1" applyAlignment="1" applyProtection="1">
      <alignment horizontal="center"/>
      <protection locked="0"/>
    </xf>
    <xf numFmtId="0" fontId="3" fillId="2" borderId="20" xfId="0" applyFont="1" applyFill="1" applyBorder="1" applyAlignment="1" applyProtection="1">
      <alignment horizontal="center"/>
      <protection locked="0"/>
    </xf>
    <xf numFmtId="0" fontId="3" fillId="2" borderId="22" xfId="0" applyFont="1" applyFill="1" applyBorder="1" applyAlignment="1" applyProtection="1">
      <alignment horizontal="center"/>
      <protection locked="0"/>
    </xf>
    <xf numFmtId="0" fontId="3" fillId="0" borderId="25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165" fontId="3" fillId="0" borderId="11" xfId="0" applyNumberFormat="1" applyFont="1" applyBorder="1" applyAlignment="1" applyProtection="1">
      <alignment horizontal="center" vertical="center"/>
      <protection locked="0" hidden="1"/>
    </xf>
    <xf numFmtId="165" fontId="3" fillId="0" borderId="16" xfId="0" applyNumberFormat="1" applyFont="1" applyBorder="1" applyAlignment="1" applyProtection="1">
      <alignment horizontal="center" vertical="center"/>
      <protection locked="0" hidden="1"/>
    </xf>
    <xf numFmtId="165" fontId="3" fillId="0" borderId="17" xfId="0" applyNumberFormat="1" applyFont="1" applyBorder="1" applyAlignment="1" applyProtection="1">
      <alignment horizontal="center" vertical="center"/>
      <protection locked="0" hidden="1"/>
    </xf>
    <xf numFmtId="2" fontId="3" fillId="0" borderId="11" xfId="0" applyNumberFormat="1" applyFont="1" applyBorder="1" applyAlignment="1" applyProtection="1">
      <alignment horizontal="center"/>
      <protection locked="0"/>
    </xf>
    <xf numFmtId="2" fontId="3" fillId="0" borderId="16" xfId="0" applyNumberFormat="1" applyFont="1" applyBorder="1" applyAlignment="1" applyProtection="1">
      <alignment horizontal="center"/>
      <protection locked="0"/>
    </xf>
    <xf numFmtId="2" fontId="3" fillId="0" borderId="17" xfId="0" applyNumberFormat="1" applyFont="1" applyBorder="1" applyAlignment="1" applyProtection="1">
      <alignment horizontal="center"/>
      <protection locked="0"/>
    </xf>
    <xf numFmtId="0" fontId="8" fillId="6" borderId="34" xfId="0" applyFont="1" applyFill="1" applyBorder="1" applyAlignment="1" applyProtection="1">
      <alignment horizontal="center" vertical="center"/>
      <protection locked="0"/>
    </xf>
    <xf numFmtId="0" fontId="8" fillId="6" borderId="23" xfId="0" applyFont="1" applyFill="1" applyBorder="1" applyAlignment="1" applyProtection="1">
      <alignment horizontal="center" vertical="center"/>
      <protection locked="0"/>
    </xf>
    <xf numFmtId="0" fontId="6" fillId="7" borderId="0" xfId="0" applyFont="1" applyFill="1" applyAlignment="1" applyProtection="1">
      <alignment horizontal="left" vertical="center" wrapText="1"/>
      <protection locked="0"/>
    </xf>
    <xf numFmtId="0" fontId="7" fillId="7" borderId="0" xfId="0" applyFont="1" applyFill="1" applyAlignment="1" applyProtection="1">
      <alignment horizontal="left"/>
      <protection locked="0"/>
    </xf>
    <xf numFmtId="0" fontId="3" fillId="3" borderId="10" xfId="0" applyFont="1" applyFill="1" applyBorder="1" applyAlignment="1" applyProtection="1">
      <alignment horizontal="right"/>
      <protection locked="0"/>
    </xf>
    <xf numFmtId="0" fontId="3" fillId="3" borderId="2" xfId="0" applyFont="1" applyFill="1" applyBorder="1" applyAlignment="1" applyProtection="1">
      <alignment horizontal="right"/>
      <protection locked="0"/>
    </xf>
    <xf numFmtId="168" fontId="3" fillId="0" borderId="2" xfId="0" applyNumberFormat="1" applyFont="1" applyBorder="1" applyAlignment="1" applyProtection="1">
      <alignment horizontal="center" vertical="center"/>
      <protection locked="0" hidden="1"/>
    </xf>
    <xf numFmtId="168" fontId="3" fillId="0" borderId="3" xfId="0" applyNumberFormat="1" applyFont="1" applyBorder="1" applyAlignment="1" applyProtection="1">
      <alignment horizontal="center" vertical="center"/>
      <protection locked="0" hidden="1"/>
    </xf>
    <xf numFmtId="2" fontId="3" fillId="0" borderId="2" xfId="0" applyNumberFormat="1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0" fontId="1" fillId="0" borderId="34" xfId="0" applyFont="1" applyBorder="1" applyAlignment="1" applyProtection="1">
      <alignment horizontal="center"/>
      <protection locked="0"/>
    </xf>
    <xf numFmtId="0" fontId="1" fillId="0" borderId="23" xfId="0" applyFont="1" applyBorder="1" applyAlignment="1" applyProtection="1">
      <alignment horizontal="center"/>
      <protection locked="0"/>
    </xf>
    <xf numFmtId="0" fontId="3" fillId="3" borderId="31" xfId="0" applyFont="1" applyFill="1" applyBorder="1" applyAlignment="1" applyProtection="1">
      <alignment horizontal="right" wrapText="1"/>
      <protection locked="0"/>
    </xf>
    <xf numFmtId="0" fontId="3" fillId="3" borderId="32" xfId="0" applyFont="1" applyFill="1" applyBorder="1" applyAlignment="1" applyProtection="1">
      <alignment horizontal="right" wrapText="1"/>
      <protection locked="0"/>
    </xf>
    <xf numFmtId="169" fontId="3" fillId="0" borderId="32" xfId="0" applyNumberFormat="1" applyFont="1" applyBorder="1" applyAlignment="1" applyProtection="1">
      <alignment horizontal="center" vertical="center"/>
      <protection locked="0" hidden="1"/>
    </xf>
    <xf numFmtId="169" fontId="3" fillId="0" borderId="33" xfId="0" applyNumberFormat="1" applyFont="1" applyBorder="1" applyAlignment="1" applyProtection="1">
      <alignment horizontal="center" vertical="center"/>
      <protection locked="0" hidden="1"/>
    </xf>
    <xf numFmtId="0" fontId="1" fillId="0" borderId="10" xfId="0" applyFont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49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" fillId="3" borderId="34" xfId="0" applyFont="1" applyFill="1" applyBorder="1" applyAlignment="1" applyProtection="1">
      <alignment horizontal="center"/>
      <protection locked="0"/>
    </xf>
    <xf numFmtId="0" fontId="1" fillId="3" borderId="24" xfId="0" applyFont="1" applyFill="1" applyBorder="1" applyAlignment="1" applyProtection="1">
      <alignment horizontal="center"/>
      <protection locked="0"/>
    </xf>
    <xf numFmtId="0" fontId="1" fillId="3" borderId="23" xfId="0" applyFont="1" applyFill="1" applyBorder="1" applyAlignment="1" applyProtection="1">
      <alignment horizontal="center"/>
      <protection locked="0"/>
    </xf>
    <xf numFmtId="0" fontId="2" fillId="0" borderId="20" xfId="0" applyFont="1" applyBorder="1" applyAlignment="1" applyProtection="1">
      <alignment horizontal="left" vertical="center"/>
      <protection locked="0"/>
    </xf>
    <xf numFmtId="0" fontId="2" fillId="0" borderId="21" xfId="0" applyFont="1" applyBorder="1" applyAlignment="1" applyProtection="1">
      <alignment horizontal="left" vertical="center"/>
      <protection locked="0"/>
    </xf>
    <xf numFmtId="0" fontId="2" fillId="0" borderId="45" xfId="0" applyFont="1" applyBorder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2" fillId="0" borderId="21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11" fillId="3" borderId="34" xfId="0" applyFont="1" applyFill="1" applyBorder="1" applyAlignment="1" applyProtection="1">
      <alignment horizontal="right" vertical="center"/>
      <protection locked="0"/>
    </xf>
    <xf numFmtId="0" fontId="11" fillId="3" borderId="23" xfId="0" applyFont="1" applyFill="1" applyBorder="1" applyAlignment="1" applyProtection="1">
      <alignment horizontal="right" vertical="center"/>
      <protection locked="0"/>
    </xf>
    <xf numFmtId="2" fontId="3" fillId="0" borderId="3" xfId="0" applyNumberFormat="1" applyFont="1" applyBorder="1" applyAlignment="1" applyProtection="1">
      <alignment horizontal="center"/>
      <protection locked="0"/>
    </xf>
    <xf numFmtId="0" fontId="5" fillId="3" borderId="4" xfId="0" applyFont="1" applyFill="1" applyBorder="1" applyAlignment="1" applyProtection="1">
      <alignment horizontal="right"/>
      <protection locked="0"/>
    </xf>
    <xf numFmtId="0" fontId="2" fillId="0" borderId="4" xfId="0" applyFont="1" applyBorder="1" applyAlignment="1" applyProtection="1">
      <alignment horizontal="center"/>
      <protection locked="0"/>
    </xf>
    <xf numFmtId="0" fontId="5" fillId="3" borderId="35" xfId="0" applyFont="1" applyFill="1" applyBorder="1" applyAlignment="1" applyProtection="1">
      <alignment horizontal="right"/>
      <protection locked="0"/>
    </xf>
    <xf numFmtId="0" fontId="5" fillId="3" borderId="36" xfId="0" applyFont="1" applyFill="1" applyBorder="1" applyAlignment="1" applyProtection="1">
      <alignment horizontal="right"/>
      <protection locked="0"/>
    </xf>
    <xf numFmtId="0" fontId="5" fillId="3" borderId="37" xfId="0" applyFont="1" applyFill="1" applyBorder="1" applyAlignment="1" applyProtection="1">
      <alignment horizontal="right"/>
      <protection locked="0"/>
    </xf>
    <xf numFmtId="0" fontId="2" fillId="0" borderId="35" xfId="0" applyFont="1" applyBorder="1" applyAlignment="1" applyProtection="1">
      <alignment horizontal="center"/>
      <protection locked="0"/>
    </xf>
    <xf numFmtId="0" fontId="2" fillId="0" borderId="36" xfId="0" applyFont="1" applyBorder="1" applyAlignment="1" applyProtection="1">
      <alignment horizontal="center"/>
      <protection locked="0"/>
    </xf>
    <xf numFmtId="0" fontId="2" fillId="0" borderId="37" xfId="0" applyFont="1" applyBorder="1" applyAlignment="1" applyProtection="1">
      <alignment horizontal="center"/>
      <protection locked="0"/>
    </xf>
    <xf numFmtId="0" fontId="10" fillId="3" borderId="43" xfId="0" applyFont="1" applyFill="1" applyBorder="1" applyAlignment="1" applyProtection="1">
      <alignment horizontal="center" vertical="center"/>
      <protection locked="0"/>
    </xf>
    <xf numFmtId="0" fontId="10" fillId="3" borderId="19" xfId="0" applyFont="1" applyFill="1" applyBorder="1" applyAlignment="1" applyProtection="1">
      <alignment horizontal="center" vertical="center"/>
      <protection locked="0"/>
    </xf>
    <xf numFmtId="0" fontId="10" fillId="3" borderId="44" xfId="0" applyFont="1" applyFill="1" applyBorder="1" applyAlignment="1" applyProtection="1">
      <alignment horizontal="center" vertical="center"/>
      <protection locked="0"/>
    </xf>
    <xf numFmtId="0" fontId="10" fillId="3" borderId="39" xfId="0" applyFont="1" applyFill="1" applyBorder="1" applyAlignment="1" applyProtection="1">
      <alignment horizontal="center" vertical="center"/>
      <protection locked="0"/>
    </xf>
    <xf numFmtId="0" fontId="10" fillId="3" borderId="50" xfId="0" applyFont="1" applyFill="1" applyBorder="1" applyAlignment="1" applyProtection="1">
      <alignment horizontal="center" vertical="center"/>
      <protection locked="0"/>
    </xf>
    <xf numFmtId="0" fontId="10" fillId="3" borderId="18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/>
      <protection locked="0"/>
    </xf>
  </cellXfs>
  <cellStyles count="1">
    <cellStyle name="Normal" xfId="0" builtinId="0"/>
  </cellStyles>
  <dxfs count="5">
    <dxf>
      <font>
        <b/>
        <i val="0"/>
        <color rgb="FFFF0000"/>
      </font>
      <fill>
        <patternFill patternType="none">
          <bgColor indexed="65"/>
        </patternFill>
      </fill>
    </dxf>
    <dxf>
      <font>
        <b/>
        <i val="0"/>
        <color rgb="FFFF0000"/>
      </font>
      <fill>
        <patternFill patternType="none">
          <bgColor indexed="65"/>
        </patternFill>
      </fill>
    </dxf>
    <dxf>
      <font>
        <b/>
        <i val="0"/>
        <color rgb="FF00B050"/>
      </font>
    </dxf>
    <dxf>
      <font>
        <strike val="0"/>
        <color rgb="FFFF0000"/>
      </font>
    </dxf>
    <dxf>
      <font>
        <strike val="0"/>
        <color rgb="FFFF0000"/>
      </font>
    </dxf>
  </dxfs>
  <tableStyles count="0" defaultTableStyle="TableStyleMedium9" defaultPivotStyle="PivotStyleLight16"/>
  <colors>
    <mruColors>
      <color rgb="FFFFFFCC"/>
      <color rgb="FFE0E0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359591057407129E-2"/>
          <c:y val="0.10933967921276792"/>
          <c:w val="0.93090730010949885"/>
          <c:h val="0.70457700984377114"/>
        </c:manualLayout>
      </c:layout>
      <c:lineChart>
        <c:grouping val="standard"/>
        <c:varyColors val="0"/>
        <c:ser>
          <c:idx val="0"/>
          <c:order val="0"/>
          <c:val>
            <c:numRef>
              <c:f>'Volume pela Densidade (2)'!$D$28:$P$28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CD-44FE-9BE5-6C56FC648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884224"/>
        <c:axId val="213151520"/>
      </c:lineChart>
      <c:catAx>
        <c:axId val="212884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13151520"/>
        <c:crosses val="autoZero"/>
        <c:auto val="1"/>
        <c:lblAlgn val="ctr"/>
        <c:lblOffset val="100"/>
        <c:noMultiLvlLbl val="0"/>
      </c:catAx>
      <c:valAx>
        <c:axId val="2131515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1288422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40</xdr:row>
      <xdr:rowOff>209550</xdr:rowOff>
    </xdr:from>
    <xdr:to>
      <xdr:col>16</xdr:col>
      <xdr:colOff>38100</xdr:colOff>
      <xdr:row>49</xdr:row>
      <xdr:rowOff>76200</xdr:rowOff>
    </xdr:to>
    <xdr:graphicFrame macro="">
      <xdr:nvGraphicFramePr>
        <xdr:cNvPr id="2" name="Gráfico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233880</xdr:colOff>
      <xdr:row>0</xdr:row>
      <xdr:rowOff>0</xdr:rowOff>
    </xdr:from>
    <xdr:to>
      <xdr:col>0</xdr:col>
      <xdr:colOff>881880</xdr:colOff>
      <xdr:row>2</xdr:row>
      <xdr:rowOff>181275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80" y="0"/>
          <a:ext cx="648000" cy="648000"/>
        </a:xfrm>
        <a:prstGeom prst="rect">
          <a:avLst/>
        </a:prstGeom>
      </xdr:spPr>
    </xdr:pic>
    <xdr:clientData/>
  </xdr:twoCellAnchor>
  <xdr:oneCellAnchor>
    <xdr:from>
      <xdr:col>17</xdr:col>
      <xdr:colOff>0</xdr:colOff>
      <xdr:row>1</xdr:row>
      <xdr:rowOff>0</xdr:rowOff>
    </xdr:from>
    <xdr:ext cx="1371600" cy="314325"/>
    <xdr:sp macro="[0]!ImprimirFicha" textlink="">
      <xdr:nvSpPr>
        <xdr:cNvPr id="4" name="btnImprimi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>
        <a:xfrm>
          <a:off x="11734800" y="219075"/>
          <a:ext cx="1371600" cy="314325"/>
        </a:xfrm>
        <a:prstGeom prst="roundRect">
          <a:avLst>
            <a:gd name="adj" fmla="val 16667"/>
          </a:avLst>
        </a:prstGeom>
        <a:solidFill>
          <a:srgbClr val="1F4E79"/>
        </a:solidFill>
        <a:ln w="9525">
          <a:solidFill>
            <a:srgbClr val="1F4E79"/>
          </a:solidFill>
        </a:ln>
      </xdr:spPr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FFFFFF"/>
              </a:solidFill>
              <a:latin typeface="Arial"/>
              <a:cs typeface="Arial"/>
            </a:rPr>
            <a:t>IMPRIMIR</a:t>
          </a:r>
        </a:p>
      </xdr:txBody>
    </xdr:sp>
    <xdr:clientData fPrintsWithSheet="0"/>
  </xdr:oneCellAnchor>
  <xdr:oneCellAnchor>
    <xdr:from>
      <xdr:col>17</xdr:col>
      <xdr:colOff>0</xdr:colOff>
      <xdr:row>4</xdr:row>
      <xdr:rowOff>0</xdr:rowOff>
    </xdr:from>
    <xdr:ext cx="1371600" cy="314325"/>
    <xdr:sp macro="[0]!SalvarFichaComo" textlink="">
      <xdr:nvSpPr>
        <xdr:cNvPr id="5" name="btnSalvarCom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>
        <a:xfrm>
          <a:off x="11734800" y="809625"/>
          <a:ext cx="1371600" cy="314325"/>
        </a:xfrm>
        <a:prstGeom prst="roundRect">
          <a:avLst>
            <a:gd name="adj" fmla="val 16667"/>
          </a:avLst>
        </a:prstGeom>
        <a:solidFill>
          <a:srgbClr val="2E7D32"/>
        </a:solidFill>
        <a:ln w="9525">
          <a:solidFill>
            <a:srgbClr val="2E7D32"/>
          </a:solidFill>
        </a:ln>
      </xdr:spPr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FFFFFF"/>
              </a:solidFill>
              <a:latin typeface="Arial"/>
              <a:cs typeface="Arial"/>
            </a:rPr>
            <a:t>SALVAR COMO...</a:t>
          </a:r>
        </a:p>
      </xdr:txBody>
    </xdr:sp>
    <xdr:clientData fPrintsWithSheet="0"/>
  </xdr:oneCellAnchor>
  <xdr:oneCellAnchor>
    <xdr:from>
      <xdr:col>17</xdr:col>
      <xdr:colOff>0</xdr:colOff>
      <xdr:row>7</xdr:row>
      <xdr:rowOff>0</xdr:rowOff>
    </xdr:from>
    <xdr:ext cx="1371600" cy="400050"/>
    <xdr:sp macro="[0]!NovaFichaEmBranco" textlink="">
      <xdr:nvSpPr>
        <xdr:cNvPr id="9" name="btnNovaFich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>
        <a:xfrm>
          <a:off x="0" y="0"/>
          <a:ext cx="1371600" cy="400050"/>
        </a:xfrm>
        <a:prstGeom prst="roundRect">
          <a:avLst>
            <a:gd name="adj" fmla="val 16667"/>
          </a:avLst>
        </a:prstGeom>
        <a:solidFill>
          <a:srgbClr val="B35C00"/>
        </a:solidFill>
        <a:ln w="9525">
          <a:solidFill>
            <a:srgbClr val="B35C00"/>
          </a:solidFill>
        </a:ln>
      </xdr:spPr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Arial"/>
              <a:cs typeface="Arial"/>
            </a:rPr>
            <a:t>NOVA FICHA</a:t>
          </a:r>
        </a:p>
        <a:p>
          <a:pPr algn="ctr"/>
          <a:r>
            <a:rPr lang="pt-BR" sz="900" b="1">
              <a:solidFill>
                <a:srgbClr val="FFFFFF"/>
              </a:solidFill>
              <a:latin typeface="Arial"/>
              <a:cs typeface="Arial"/>
            </a:rPr>
            <a:t>EM BRANCO</a:t>
          </a:r>
        </a:p>
      </xdr:txBody>
    </xdr:sp>
    <xdr:clientData fPrintsWithSheet="0"/>
  </xdr:one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54D0612C-AEEC-4C91-89AA-AA4488609FA2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04527630-f151-4969-90b4-805fedb17c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2B5DD799-185A-4929-850A-DCA3564BCFD0}">
  <we:reference id="wa200010725" version="1.0.0.1" store="pt-BR" storeType="OMEX"/>
  <we:alternateReferences>
    <we:reference id="wa200010725" version="1.0.0.1" store="pt-BR" storeType="OMEX"/>
  </we:alternateReferences>
  <we:properties>
    <we:property name="claude.fileId" value="&quot;1c01b10f-9c29-484c-8b35-5623483f6de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54047-5E41-4F0C-A2A1-851FF8B79E74}">
  <sheetPr codeName="Planilha2">
    <tabColor theme="1"/>
  </sheetPr>
  <dimension ref="A1:R54"/>
  <sheetViews>
    <sheetView showGridLines="0" tabSelected="1" zoomScaleNormal="100" zoomScaleSheetLayoutView="100" workbookViewId="0">
      <selection activeCell="A28" sqref="A28"/>
    </sheetView>
  </sheetViews>
  <sheetFormatPr defaultColWidth="22.85546875" defaultRowHeight="0" customHeight="1" zeroHeight="1" x14ac:dyDescent="0.2"/>
  <cols>
    <col min="1" max="1" width="18.42578125" style="36" bestFit="1" customWidth="1"/>
    <col min="2" max="2" width="11" style="36" customWidth="1"/>
    <col min="3" max="3" width="11.5703125" style="36" customWidth="1"/>
    <col min="4" max="16" width="10.28515625" style="36" customWidth="1"/>
    <col min="17" max="17" width="0.85546875" style="36" customWidth="1"/>
    <col min="18" max="18" width="21.5703125" style="36" customWidth="1"/>
    <col min="19" max="16384" width="22.85546875" style="64"/>
  </cols>
  <sheetData>
    <row r="1" spans="1:16" ht="17.25" customHeight="1" thickBot="1" x14ac:dyDescent="0.25">
      <c r="A1" s="65"/>
      <c r="B1" s="68" t="s">
        <v>0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70"/>
      <c r="N1" s="71" t="s">
        <v>50</v>
      </c>
      <c r="O1" s="72"/>
      <c r="P1" s="73"/>
    </row>
    <row r="2" spans="1:16" ht="19.5" customHeight="1" thickBot="1" x14ac:dyDescent="0.25">
      <c r="A2" s="66"/>
      <c r="B2" s="74" t="s">
        <v>42</v>
      </c>
      <c r="C2" s="69"/>
      <c r="D2" s="69"/>
      <c r="E2" s="69"/>
      <c r="F2" s="69"/>
      <c r="G2" s="69"/>
      <c r="H2" s="69"/>
      <c r="I2" s="69"/>
      <c r="J2" s="69"/>
      <c r="K2" s="69"/>
      <c r="L2" s="69"/>
      <c r="M2" s="70"/>
      <c r="N2" s="78" t="s">
        <v>8</v>
      </c>
      <c r="O2" s="79"/>
      <c r="P2" s="80"/>
    </row>
    <row r="3" spans="1:16" ht="18.75" customHeight="1" thickBot="1" x14ac:dyDescent="0.25">
      <c r="A3" s="67"/>
      <c r="B3" s="75"/>
      <c r="C3" s="76"/>
      <c r="D3" s="76"/>
      <c r="E3" s="76"/>
      <c r="F3" s="76"/>
      <c r="G3" s="76"/>
      <c r="H3" s="76"/>
      <c r="I3" s="76"/>
      <c r="J3" s="76"/>
      <c r="K3" s="76"/>
      <c r="L3" s="76"/>
      <c r="M3" s="77"/>
      <c r="N3" s="81" t="s">
        <v>1</v>
      </c>
      <c r="O3" s="82"/>
      <c r="P3" s="83"/>
    </row>
    <row r="4" spans="1:16" ht="8.25" customHeight="1" thickBot="1" x14ac:dyDescent="0.25"/>
    <row r="5" spans="1:16" ht="12.75" customHeight="1" thickBot="1" x14ac:dyDescent="0.25">
      <c r="A5" s="86" t="s">
        <v>2</v>
      </c>
      <c r="B5" s="87"/>
      <c r="C5" s="87"/>
      <c r="D5" s="88"/>
      <c r="E5" s="37" t="s">
        <v>3</v>
      </c>
      <c r="F5" s="89" t="s">
        <v>37</v>
      </c>
      <c r="G5" s="90"/>
      <c r="H5" s="90"/>
      <c r="I5" s="91"/>
      <c r="J5" s="89" t="s">
        <v>4</v>
      </c>
      <c r="K5" s="90"/>
      <c r="L5" s="90"/>
      <c r="M5" s="91"/>
      <c r="N5" s="38"/>
      <c r="O5" s="92" t="s">
        <v>39</v>
      </c>
      <c r="P5" s="93"/>
    </row>
    <row r="6" spans="1:16" ht="12.75" customHeight="1" thickBot="1" x14ac:dyDescent="0.25">
      <c r="A6" s="94"/>
      <c r="B6" s="95"/>
      <c r="C6" s="95"/>
      <c r="D6" s="96"/>
      <c r="E6" s="4"/>
      <c r="F6" s="97">
        <v>100</v>
      </c>
      <c r="G6" s="98"/>
      <c r="H6" s="98"/>
      <c r="I6" s="99"/>
      <c r="J6" s="100"/>
      <c r="K6" s="101"/>
      <c r="L6" s="101"/>
      <c r="M6" s="102"/>
      <c r="N6" s="38"/>
      <c r="O6" s="103"/>
      <c r="P6" s="104"/>
    </row>
    <row r="7" spans="1:16" ht="12.75" customHeight="1" thickBot="1" x14ac:dyDescent="0.25">
      <c r="A7" s="105" t="s">
        <v>51</v>
      </c>
      <c r="B7" s="106"/>
      <c r="C7" s="106"/>
      <c r="D7" s="106"/>
      <c r="E7" s="106"/>
      <c r="F7" s="107" t="s">
        <v>41</v>
      </c>
      <c r="G7" s="108"/>
      <c r="H7" s="109">
        <f>C26</f>
        <v>0</v>
      </c>
      <c r="I7" s="110"/>
      <c r="J7" s="107" t="s">
        <v>35</v>
      </c>
      <c r="K7" s="108"/>
      <c r="L7" s="111">
        <f>F6</f>
        <v>100</v>
      </c>
      <c r="M7" s="112"/>
      <c r="N7" s="39" t="s">
        <v>47</v>
      </c>
      <c r="O7" s="84" t="s">
        <v>48</v>
      </c>
      <c r="P7" s="85"/>
    </row>
    <row r="8" spans="1:16" ht="13.5" thickBot="1" x14ac:dyDescent="0.25">
      <c r="A8" s="105" t="s">
        <v>7</v>
      </c>
      <c r="B8" s="106"/>
      <c r="C8" s="106"/>
      <c r="D8" s="106"/>
      <c r="E8" s="106"/>
      <c r="F8" s="115" t="s">
        <v>40</v>
      </c>
      <c r="G8" s="116"/>
      <c r="H8" s="117">
        <f>C25</f>
        <v>0</v>
      </c>
      <c r="I8" s="118"/>
      <c r="J8" s="107" t="s">
        <v>36</v>
      </c>
      <c r="K8" s="108"/>
      <c r="L8" s="111">
        <f>F6+(J6*F6/100)</f>
        <v>100</v>
      </c>
      <c r="M8" s="135"/>
      <c r="N8" s="35"/>
      <c r="O8" s="103"/>
      <c r="P8" s="104"/>
    </row>
    <row r="9" spans="1:16" ht="12.75" customHeight="1" thickBot="1" x14ac:dyDescent="0.25">
      <c r="A9" s="119"/>
      <c r="B9" s="120"/>
      <c r="C9" s="120"/>
      <c r="D9" s="120"/>
      <c r="E9" s="120"/>
      <c r="F9" s="120"/>
      <c r="G9" s="120"/>
      <c r="H9" s="120"/>
      <c r="I9" s="120"/>
      <c r="J9" s="120"/>
      <c r="K9" s="120"/>
      <c r="L9" s="120"/>
      <c r="M9" s="120"/>
      <c r="N9" s="121"/>
      <c r="O9" s="120"/>
      <c r="P9" s="122"/>
    </row>
    <row r="10" spans="1:16" ht="12.75" customHeight="1" thickBot="1" x14ac:dyDescent="0.25">
      <c r="A10" s="40"/>
      <c r="B10" s="41" t="s">
        <v>43</v>
      </c>
      <c r="C10" s="42" t="s">
        <v>44</v>
      </c>
      <c r="D10" s="123" t="s">
        <v>5</v>
      </c>
      <c r="E10" s="124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5"/>
    </row>
    <row r="11" spans="1:16" ht="12.75" x14ac:dyDescent="0.2">
      <c r="A11" s="43" t="s">
        <v>12</v>
      </c>
      <c r="B11" s="20"/>
      <c r="C11" s="21"/>
      <c r="D11" s="11"/>
      <c r="E11" s="11"/>
      <c r="F11" s="11"/>
      <c r="G11" s="11"/>
      <c r="H11" s="11"/>
      <c r="I11" s="11"/>
      <c r="J11" s="11"/>
      <c r="K11" s="11"/>
      <c r="L11" s="11"/>
      <c r="M11" s="12"/>
      <c r="N11" s="12"/>
      <c r="O11" s="12"/>
      <c r="P11" s="13"/>
    </row>
    <row r="12" spans="1:16" ht="12.75" x14ac:dyDescent="0.2">
      <c r="A12" s="44" t="s">
        <v>13</v>
      </c>
      <c r="B12" s="14"/>
      <c r="C12" s="16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6"/>
    </row>
    <row r="13" spans="1:16" ht="13.5" thickBot="1" x14ac:dyDescent="0.25">
      <c r="A13" s="45" t="s">
        <v>34</v>
      </c>
      <c r="B13" s="25"/>
      <c r="C13" s="26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8"/>
    </row>
    <row r="14" spans="1:16" ht="13.5" hidden="1" thickBot="1" x14ac:dyDescent="0.25">
      <c r="A14" s="46"/>
      <c r="B14" s="17"/>
      <c r="C14" s="19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9"/>
    </row>
    <row r="15" spans="1:16" ht="12.75" x14ac:dyDescent="0.2">
      <c r="A15" s="47" t="s">
        <v>14</v>
      </c>
      <c r="B15" s="29"/>
      <c r="C15" s="30"/>
      <c r="D15" s="5"/>
      <c r="E15" s="1"/>
      <c r="F15" s="5"/>
      <c r="G15" s="1"/>
      <c r="H15" s="5"/>
      <c r="I15" s="1"/>
      <c r="J15" s="5"/>
      <c r="K15" s="1"/>
      <c r="L15" s="5"/>
      <c r="M15" s="1"/>
      <c r="N15" s="5"/>
      <c r="O15" s="1"/>
      <c r="P15" s="8"/>
    </row>
    <row r="16" spans="1:16" ht="12.75" x14ac:dyDescent="0.2">
      <c r="A16" s="47" t="s">
        <v>15</v>
      </c>
      <c r="B16" s="31"/>
      <c r="C16" s="32"/>
      <c r="D16" s="6"/>
      <c r="E16" s="2"/>
      <c r="F16" s="6"/>
      <c r="G16" s="2"/>
      <c r="H16" s="6"/>
      <c r="I16" s="2"/>
      <c r="J16" s="6"/>
      <c r="K16" s="2"/>
      <c r="L16" s="6"/>
      <c r="M16" s="2"/>
      <c r="N16" s="6"/>
      <c r="O16" s="2"/>
      <c r="P16" s="9"/>
    </row>
    <row r="17" spans="1:17" ht="12.75" x14ac:dyDescent="0.2">
      <c r="A17" s="47" t="s">
        <v>16</v>
      </c>
      <c r="B17" s="31"/>
      <c r="C17" s="32"/>
      <c r="D17" s="6"/>
      <c r="E17" s="2"/>
      <c r="F17" s="6"/>
      <c r="G17" s="2"/>
      <c r="H17" s="6"/>
      <c r="I17" s="2"/>
      <c r="J17" s="6"/>
      <c r="K17" s="2"/>
      <c r="L17" s="6"/>
      <c r="M17" s="2"/>
      <c r="N17" s="6"/>
      <c r="O17" s="2"/>
      <c r="P17" s="9"/>
    </row>
    <row r="18" spans="1:17" ht="12.75" x14ac:dyDescent="0.2">
      <c r="A18" s="47" t="s">
        <v>17</v>
      </c>
      <c r="B18" s="31"/>
      <c r="C18" s="32"/>
      <c r="D18" s="6"/>
      <c r="E18" s="2"/>
      <c r="F18" s="6"/>
      <c r="G18" s="2"/>
      <c r="H18" s="6"/>
      <c r="I18" s="2"/>
      <c r="J18" s="6"/>
      <c r="K18" s="2"/>
      <c r="L18" s="6"/>
      <c r="M18" s="2"/>
      <c r="N18" s="6"/>
      <c r="O18" s="2"/>
      <c r="P18" s="9"/>
    </row>
    <row r="19" spans="1:17" ht="12.75" x14ac:dyDescent="0.2">
      <c r="A19" s="47" t="s">
        <v>18</v>
      </c>
      <c r="B19" s="31"/>
      <c r="C19" s="32"/>
      <c r="D19" s="6"/>
      <c r="E19" s="2"/>
      <c r="F19" s="6"/>
      <c r="G19" s="2"/>
      <c r="H19" s="6"/>
      <c r="I19" s="2"/>
      <c r="J19" s="6"/>
      <c r="K19" s="2"/>
      <c r="L19" s="6"/>
      <c r="M19" s="2"/>
      <c r="N19" s="6"/>
      <c r="O19" s="2"/>
      <c r="P19" s="9"/>
    </row>
    <row r="20" spans="1:17" ht="12.75" x14ac:dyDescent="0.2">
      <c r="A20" s="47" t="s">
        <v>19</v>
      </c>
      <c r="B20" s="31"/>
      <c r="C20" s="32"/>
      <c r="D20" s="6"/>
      <c r="E20" s="2"/>
      <c r="F20" s="6"/>
      <c r="G20" s="2"/>
      <c r="H20" s="6"/>
      <c r="I20" s="2"/>
      <c r="J20" s="6"/>
      <c r="K20" s="2"/>
      <c r="L20" s="6"/>
      <c r="M20" s="2"/>
      <c r="N20" s="6"/>
      <c r="O20" s="2"/>
      <c r="P20" s="9"/>
    </row>
    <row r="21" spans="1:17" ht="12.75" x14ac:dyDescent="0.2">
      <c r="A21" s="47" t="s">
        <v>20</v>
      </c>
      <c r="B21" s="31"/>
      <c r="C21" s="32"/>
      <c r="D21" s="6"/>
      <c r="E21" s="2"/>
      <c r="F21" s="6"/>
      <c r="G21" s="2"/>
      <c r="H21" s="6"/>
      <c r="I21" s="2"/>
      <c r="J21" s="6"/>
      <c r="K21" s="2"/>
      <c r="L21" s="6"/>
      <c r="M21" s="2"/>
      <c r="N21" s="6"/>
      <c r="O21" s="2"/>
      <c r="P21" s="9"/>
    </row>
    <row r="22" spans="1:17" ht="12.75" x14ac:dyDescent="0.2">
      <c r="A22" s="47" t="s">
        <v>21</v>
      </c>
      <c r="B22" s="31"/>
      <c r="C22" s="32"/>
      <c r="D22" s="6"/>
      <c r="E22" s="2"/>
      <c r="F22" s="6"/>
      <c r="G22" s="2"/>
      <c r="H22" s="6"/>
      <c r="I22" s="2"/>
      <c r="J22" s="6"/>
      <c r="K22" s="2"/>
      <c r="L22" s="6"/>
      <c r="M22" s="2"/>
      <c r="N22" s="6"/>
      <c r="O22" s="2"/>
      <c r="P22" s="9"/>
    </row>
    <row r="23" spans="1:17" ht="12.75" x14ac:dyDescent="0.2">
      <c r="A23" s="47" t="s">
        <v>22</v>
      </c>
      <c r="B23" s="31"/>
      <c r="C23" s="32"/>
      <c r="D23" s="6"/>
      <c r="E23" s="2"/>
      <c r="F23" s="6"/>
      <c r="G23" s="2"/>
      <c r="H23" s="6"/>
      <c r="I23" s="2"/>
      <c r="J23" s="6"/>
      <c r="K23" s="2"/>
      <c r="L23" s="6"/>
      <c r="M23" s="2"/>
      <c r="N23" s="6"/>
      <c r="O23" s="2"/>
      <c r="P23" s="9"/>
    </row>
    <row r="24" spans="1:17" ht="12.75" customHeight="1" thickBot="1" x14ac:dyDescent="0.25">
      <c r="A24" s="48" t="s">
        <v>23</v>
      </c>
      <c r="B24" s="33"/>
      <c r="C24" s="34"/>
      <c r="D24" s="7"/>
      <c r="E24" s="3"/>
      <c r="F24" s="7"/>
      <c r="G24" s="3"/>
      <c r="H24" s="7"/>
      <c r="I24" s="3"/>
      <c r="J24" s="7"/>
      <c r="K24" s="3"/>
      <c r="L24" s="7"/>
      <c r="M24" s="3"/>
      <c r="N24" s="7"/>
      <c r="O24" s="3"/>
      <c r="P24" s="10"/>
    </row>
    <row r="25" spans="1:17" ht="15.75" customHeight="1" thickBot="1" x14ac:dyDescent="0.25">
      <c r="A25" s="49" t="s">
        <v>45</v>
      </c>
      <c r="B25" s="50">
        <f>SUM(B15:B24)/10</f>
        <v>0</v>
      </c>
      <c r="C25" s="50">
        <f>SUM(C15:C24)/10</f>
        <v>0</v>
      </c>
      <c r="D25" s="126" t="s">
        <v>49</v>
      </c>
      <c r="E25" s="127"/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</row>
    <row r="26" spans="1:17" ht="17.25" customHeight="1" thickBot="1" x14ac:dyDescent="0.25">
      <c r="A26" s="51" t="s">
        <v>46</v>
      </c>
      <c r="B26" s="22">
        <v>0</v>
      </c>
      <c r="C26" s="23">
        <v>0</v>
      </c>
      <c r="D26" s="128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24"/>
    </row>
    <row r="27" spans="1:17" ht="7.5" customHeight="1" thickBot="1" x14ac:dyDescent="0.25">
      <c r="A27" s="130"/>
      <c r="B27" s="131"/>
      <c r="C27" s="131"/>
      <c r="D27" s="132"/>
      <c r="E27" s="132"/>
      <c r="F27" s="132"/>
      <c r="G27" s="132"/>
      <c r="H27" s="132"/>
      <c r="I27" s="132"/>
      <c r="J27" s="132"/>
      <c r="K27" s="132"/>
      <c r="L27" s="132"/>
      <c r="M27" s="132"/>
      <c r="N27" s="132"/>
      <c r="O27" s="132"/>
      <c r="P27" s="132"/>
    </row>
    <row r="28" spans="1:17" ht="12.75" customHeight="1" thickBot="1" x14ac:dyDescent="0.25">
      <c r="B28" s="133" t="s">
        <v>38</v>
      </c>
      <c r="C28" s="134"/>
      <c r="D28" s="53" t="e">
        <f>AVERAGE(D31:D40)</f>
        <v>#DIV/0!</v>
      </c>
      <c r="E28" s="54" t="e">
        <f t="shared" ref="E28:P28" si="0">AVERAGE(E31:E40)</f>
        <v>#DIV/0!</v>
      </c>
      <c r="F28" s="55" t="e">
        <f t="shared" si="0"/>
        <v>#DIV/0!</v>
      </c>
      <c r="G28" s="54" t="e">
        <f t="shared" si="0"/>
        <v>#DIV/0!</v>
      </c>
      <c r="H28" s="55" t="e">
        <f t="shared" si="0"/>
        <v>#DIV/0!</v>
      </c>
      <c r="I28" s="54" t="e">
        <f t="shared" si="0"/>
        <v>#DIV/0!</v>
      </c>
      <c r="J28" s="55" t="e">
        <f t="shared" si="0"/>
        <v>#DIV/0!</v>
      </c>
      <c r="K28" s="54" t="e">
        <f t="shared" si="0"/>
        <v>#DIV/0!</v>
      </c>
      <c r="L28" s="55" t="e">
        <f t="shared" si="0"/>
        <v>#DIV/0!</v>
      </c>
      <c r="M28" s="54" t="e">
        <f t="shared" si="0"/>
        <v>#DIV/0!</v>
      </c>
      <c r="N28" s="55" t="e">
        <f t="shared" si="0"/>
        <v>#DIV/0!</v>
      </c>
      <c r="O28" s="54" t="e">
        <f t="shared" si="0"/>
        <v>#DIV/0!</v>
      </c>
      <c r="P28" s="56" t="e">
        <f t="shared" si="0"/>
        <v>#DIV/0!</v>
      </c>
    </row>
    <row r="29" spans="1:17" ht="7.5" customHeight="1" thickBot="1" x14ac:dyDescent="0.25">
      <c r="B29" s="52"/>
      <c r="C29" s="52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</row>
    <row r="30" spans="1:17" ht="12.75" customHeight="1" thickBot="1" x14ac:dyDescent="0.25">
      <c r="B30" s="113" t="s">
        <v>6</v>
      </c>
      <c r="C30" s="114"/>
      <c r="D30" s="58">
        <f t="shared" ref="D30:P30" si="1">D13</f>
        <v>0</v>
      </c>
      <c r="E30" s="58">
        <f t="shared" si="1"/>
        <v>0</v>
      </c>
      <c r="F30" s="58">
        <f t="shared" si="1"/>
        <v>0</v>
      </c>
      <c r="G30" s="58">
        <f t="shared" si="1"/>
        <v>0</v>
      </c>
      <c r="H30" s="58">
        <f t="shared" si="1"/>
        <v>0</v>
      </c>
      <c r="I30" s="58">
        <f t="shared" si="1"/>
        <v>0</v>
      </c>
      <c r="J30" s="58">
        <f t="shared" si="1"/>
        <v>0</v>
      </c>
      <c r="K30" s="58">
        <f t="shared" si="1"/>
        <v>0</v>
      </c>
      <c r="L30" s="58">
        <f t="shared" si="1"/>
        <v>0</v>
      </c>
      <c r="M30" s="58">
        <f t="shared" si="1"/>
        <v>0</v>
      </c>
      <c r="N30" s="58">
        <f t="shared" si="1"/>
        <v>0</v>
      </c>
      <c r="O30" s="58">
        <f t="shared" si="1"/>
        <v>0</v>
      </c>
      <c r="P30" s="59">
        <f t="shared" si="1"/>
        <v>0</v>
      </c>
    </row>
    <row r="31" spans="1:17" ht="12.75" x14ac:dyDescent="0.2">
      <c r="B31" s="144" t="s">
        <v>24</v>
      </c>
      <c r="C31" s="145"/>
      <c r="D31" s="6" t="e">
        <f t="shared" ref="D31:P40" si="2">(D15-$H$8)/$H$7</f>
        <v>#DIV/0!</v>
      </c>
      <c r="E31" s="60" t="e">
        <f t="shared" si="2"/>
        <v>#DIV/0!</v>
      </c>
      <c r="F31" s="6" t="e">
        <f t="shared" si="2"/>
        <v>#DIV/0!</v>
      </c>
      <c r="G31" s="60" t="e">
        <f t="shared" si="2"/>
        <v>#DIV/0!</v>
      </c>
      <c r="H31" s="6" t="e">
        <f t="shared" si="2"/>
        <v>#DIV/0!</v>
      </c>
      <c r="I31" s="60" t="e">
        <f t="shared" si="2"/>
        <v>#DIV/0!</v>
      </c>
      <c r="J31" s="6" t="e">
        <f t="shared" si="2"/>
        <v>#DIV/0!</v>
      </c>
      <c r="K31" s="60" t="e">
        <f t="shared" si="2"/>
        <v>#DIV/0!</v>
      </c>
      <c r="L31" s="6" t="e">
        <f t="shared" si="2"/>
        <v>#DIV/0!</v>
      </c>
      <c r="M31" s="60" t="e">
        <f t="shared" si="2"/>
        <v>#DIV/0!</v>
      </c>
      <c r="N31" s="6" t="e">
        <f t="shared" si="2"/>
        <v>#DIV/0!</v>
      </c>
      <c r="O31" s="60" t="e">
        <f t="shared" si="2"/>
        <v>#DIV/0!</v>
      </c>
      <c r="P31" s="9" t="e">
        <f t="shared" si="2"/>
        <v>#DIV/0!</v>
      </c>
    </row>
    <row r="32" spans="1:17" ht="12.75" x14ac:dyDescent="0.2">
      <c r="B32" s="146" t="s">
        <v>25</v>
      </c>
      <c r="C32" s="147"/>
      <c r="D32" s="6" t="e">
        <f t="shared" si="2"/>
        <v>#DIV/0!</v>
      </c>
      <c r="E32" s="60" t="e">
        <f t="shared" si="2"/>
        <v>#DIV/0!</v>
      </c>
      <c r="F32" s="6" t="e">
        <f t="shared" si="2"/>
        <v>#DIV/0!</v>
      </c>
      <c r="G32" s="60" t="e">
        <f t="shared" si="2"/>
        <v>#DIV/0!</v>
      </c>
      <c r="H32" s="6" t="e">
        <f t="shared" si="2"/>
        <v>#DIV/0!</v>
      </c>
      <c r="I32" s="60" t="e">
        <f t="shared" si="2"/>
        <v>#DIV/0!</v>
      </c>
      <c r="J32" s="6" t="e">
        <f t="shared" si="2"/>
        <v>#DIV/0!</v>
      </c>
      <c r="K32" s="60" t="e">
        <f t="shared" si="2"/>
        <v>#DIV/0!</v>
      </c>
      <c r="L32" s="6" t="e">
        <f t="shared" si="2"/>
        <v>#DIV/0!</v>
      </c>
      <c r="M32" s="60" t="e">
        <f t="shared" si="2"/>
        <v>#DIV/0!</v>
      </c>
      <c r="N32" s="6" t="e">
        <f t="shared" si="2"/>
        <v>#DIV/0!</v>
      </c>
      <c r="O32" s="60" t="e">
        <f t="shared" si="2"/>
        <v>#DIV/0!</v>
      </c>
      <c r="P32" s="9" t="e">
        <f t="shared" si="2"/>
        <v>#DIV/0!</v>
      </c>
    </row>
    <row r="33" spans="1:16" ht="12.75" x14ac:dyDescent="0.2">
      <c r="B33" s="146" t="s">
        <v>26</v>
      </c>
      <c r="C33" s="147"/>
      <c r="D33" s="6" t="e">
        <f t="shared" si="2"/>
        <v>#DIV/0!</v>
      </c>
      <c r="E33" s="60" t="e">
        <f t="shared" si="2"/>
        <v>#DIV/0!</v>
      </c>
      <c r="F33" s="6" t="e">
        <f t="shared" si="2"/>
        <v>#DIV/0!</v>
      </c>
      <c r="G33" s="60" t="e">
        <f t="shared" si="2"/>
        <v>#DIV/0!</v>
      </c>
      <c r="H33" s="6" t="e">
        <f t="shared" si="2"/>
        <v>#DIV/0!</v>
      </c>
      <c r="I33" s="60" t="e">
        <f t="shared" si="2"/>
        <v>#DIV/0!</v>
      </c>
      <c r="J33" s="6" t="e">
        <f t="shared" si="2"/>
        <v>#DIV/0!</v>
      </c>
      <c r="K33" s="60" t="e">
        <f t="shared" si="2"/>
        <v>#DIV/0!</v>
      </c>
      <c r="L33" s="6" t="e">
        <f t="shared" si="2"/>
        <v>#DIV/0!</v>
      </c>
      <c r="M33" s="60" t="e">
        <f t="shared" si="2"/>
        <v>#DIV/0!</v>
      </c>
      <c r="N33" s="6" t="e">
        <f t="shared" si="2"/>
        <v>#DIV/0!</v>
      </c>
      <c r="O33" s="60" t="e">
        <f t="shared" si="2"/>
        <v>#DIV/0!</v>
      </c>
      <c r="P33" s="9" t="e">
        <f t="shared" si="2"/>
        <v>#DIV/0!</v>
      </c>
    </row>
    <row r="34" spans="1:16" ht="12.75" x14ac:dyDescent="0.2">
      <c r="B34" s="146" t="s">
        <v>27</v>
      </c>
      <c r="C34" s="147"/>
      <c r="D34" s="6" t="e">
        <f t="shared" si="2"/>
        <v>#DIV/0!</v>
      </c>
      <c r="E34" s="60" t="e">
        <f t="shared" si="2"/>
        <v>#DIV/0!</v>
      </c>
      <c r="F34" s="6" t="e">
        <f t="shared" si="2"/>
        <v>#DIV/0!</v>
      </c>
      <c r="G34" s="60" t="e">
        <f t="shared" si="2"/>
        <v>#DIV/0!</v>
      </c>
      <c r="H34" s="6" t="e">
        <f t="shared" si="2"/>
        <v>#DIV/0!</v>
      </c>
      <c r="I34" s="60" t="e">
        <f t="shared" si="2"/>
        <v>#DIV/0!</v>
      </c>
      <c r="J34" s="6" t="e">
        <f t="shared" si="2"/>
        <v>#DIV/0!</v>
      </c>
      <c r="K34" s="60" t="e">
        <f t="shared" si="2"/>
        <v>#DIV/0!</v>
      </c>
      <c r="L34" s="6" t="e">
        <f t="shared" si="2"/>
        <v>#DIV/0!</v>
      </c>
      <c r="M34" s="60" t="e">
        <f t="shared" si="2"/>
        <v>#DIV/0!</v>
      </c>
      <c r="N34" s="6" t="e">
        <f t="shared" si="2"/>
        <v>#DIV/0!</v>
      </c>
      <c r="O34" s="60" t="e">
        <f t="shared" si="2"/>
        <v>#DIV/0!</v>
      </c>
      <c r="P34" s="9" t="e">
        <f t="shared" si="2"/>
        <v>#DIV/0!</v>
      </c>
    </row>
    <row r="35" spans="1:16" ht="12.75" x14ac:dyDescent="0.2">
      <c r="B35" s="146" t="s">
        <v>28</v>
      </c>
      <c r="C35" s="147"/>
      <c r="D35" s="6" t="e">
        <f t="shared" si="2"/>
        <v>#DIV/0!</v>
      </c>
      <c r="E35" s="60" t="e">
        <f t="shared" si="2"/>
        <v>#DIV/0!</v>
      </c>
      <c r="F35" s="6" t="e">
        <f t="shared" si="2"/>
        <v>#DIV/0!</v>
      </c>
      <c r="G35" s="60" t="e">
        <f t="shared" si="2"/>
        <v>#DIV/0!</v>
      </c>
      <c r="H35" s="6" t="e">
        <f t="shared" si="2"/>
        <v>#DIV/0!</v>
      </c>
      <c r="I35" s="60" t="e">
        <f t="shared" si="2"/>
        <v>#DIV/0!</v>
      </c>
      <c r="J35" s="6" t="e">
        <f t="shared" si="2"/>
        <v>#DIV/0!</v>
      </c>
      <c r="K35" s="60" t="e">
        <f t="shared" si="2"/>
        <v>#DIV/0!</v>
      </c>
      <c r="L35" s="6" t="e">
        <f t="shared" si="2"/>
        <v>#DIV/0!</v>
      </c>
      <c r="M35" s="60" t="e">
        <f t="shared" si="2"/>
        <v>#DIV/0!</v>
      </c>
      <c r="N35" s="6" t="e">
        <f t="shared" si="2"/>
        <v>#DIV/0!</v>
      </c>
      <c r="O35" s="60" t="e">
        <f t="shared" si="2"/>
        <v>#DIV/0!</v>
      </c>
      <c r="P35" s="9" t="e">
        <f t="shared" si="2"/>
        <v>#DIV/0!</v>
      </c>
    </row>
    <row r="36" spans="1:16" ht="12.75" x14ac:dyDescent="0.2">
      <c r="B36" s="146" t="s">
        <v>29</v>
      </c>
      <c r="C36" s="147"/>
      <c r="D36" s="6" t="e">
        <f t="shared" si="2"/>
        <v>#DIV/0!</v>
      </c>
      <c r="E36" s="60" t="e">
        <f t="shared" si="2"/>
        <v>#DIV/0!</v>
      </c>
      <c r="F36" s="6" t="e">
        <f t="shared" si="2"/>
        <v>#DIV/0!</v>
      </c>
      <c r="G36" s="60" t="e">
        <f t="shared" si="2"/>
        <v>#DIV/0!</v>
      </c>
      <c r="H36" s="6" t="e">
        <f t="shared" si="2"/>
        <v>#DIV/0!</v>
      </c>
      <c r="I36" s="60" t="e">
        <f t="shared" si="2"/>
        <v>#DIV/0!</v>
      </c>
      <c r="J36" s="6" t="e">
        <f t="shared" si="2"/>
        <v>#DIV/0!</v>
      </c>
      <c r="K36" s="60" t="e">
        <f t="shared" si="2"/>
        <v>#DIV/0!</v>
      </c>
      <c r="L36" s="6" t="e">
        <f t="shared" si="2"/>
        <v>#DIV/0!</v>
      </c>
      <c r="M36" s="60" t="e">
        <f t="shared" si="2"/>
        <v>#DIV/0!</v>
      </c>
      <c r="N36" s="6" t="e">
        <f t="shared" si="2"/>
        <v>#DIV/0!</v>
      </c>
      <c r="O36" s="60" t="e">
        <f t="shared" si="2"/>
        <v>#DIV/0!</v>
      </c>
      <c r="P36" s="9" t="e">
        <f t="shared" si="2"/>
        <v>#DIV/0!</v>
      </c>
    </row>
    <row r="37" spans="1:16" ht="12.75" x14ac:dyDescent="0.2">
      <c r="B37" s="146" t="s">
        <v>30</v>
      </c>
      <c r="C37" s="147"/>
      <c r="D37" s="6" t="e">
        <f t="shared" si="2"/>
        <v>#DIV/0!</v>
      </c>
      <c r="E37" s="60" t="e">
        <f t="shared" si="2"/>
        <v>#DIV/0!</v>
      </c>
      <c r="F37" s="6" t="e">
        <f t="shared" si="2"/>
        <v>#DIV/0!</v>
      </c>
      <c r="G37" s="60" t="e">
        <f t="shared" si="2"/>
        <v>#DIV/0!</v>
      </c>
      <c r="H37" s="6" t="e">
        <f t="shared" si="2"/>
        <v>#DIV/0!</v>
      </c>
      <c r="I37" s="60" t="e">
        <f t="shared" si="2"/>
        <v>#DIV/0!</v>
      </c>
      <c r="J37" s="6" t="e">
        <f t="shared" si="2"/>
        <v>#DIV/0!</v>
      </c>
      <c r="K37" s="60" t="e">
        <f t="shared" si="2"/>
        <v>#DIV/0!</v>
      </c>
      <c r="L37" s="6" t="e">
        <f t="shared" si="2"/>
        <v>#DIV/0!</v>
      </c>
      <c r="M37" s="60" t="e">
        <f t="shared" si="2"/>
        <v>#DIV/0!</v>
      </c>
      <c r="N37" s="6" t="e">
        <f t="shared" si="2"/>
        <v>#DIV/0!</v>
      </c>
      <c r="O37" s="60" t="e">
        <f t="shared" si="2"/>
        <v>#DIV/0!</v>
      </c>
      <c r="P37" s="9" t="e">
        <f t="shared" si="2"/>
        <v>#DIV/0!</v>
      </c>
    </row>
    <row r="38" spans="1:16" ht="12.75" x14ac:dyDescent="0.2">
      <c r="B38" s="146" t="s">
        <v>31</v>
      </c>
      <c r="C38" s="147"/>
      <c r="D38" s="6" t="e">
        <f t="shared" si="2"/>
        <v>#DIV/0!</v>
      </c>
      <c r="E38" s="60" t="e">
        <f t="shared" si="2"/>
        <v>#DIV/0!</v>
      </c>
      <c r="F38" s="6" t="e">
        <f t="shared" si="2"/>
        <v>#DIV/0!</v>
      </c>
      <c r="G38" s="60" t="e">
        <f t="shared" si="2"/>
        <v>#DIV/0!</v>
      </c>
      <c r="H38" s="6" t="e">
        <f t="shared" si="2"/>
        <v>#DIV/0!</v>
      </c>
      <c r="I38" s="60" t="e">
        <f t="shared" si="2"/>
        <v>#DIV/0!</v>
      </c>
      <c r="J38" s="6" t="e">
        <f t="shared" si="2"/>
        <v>#DIV/0!</v>
      </c>
      <c r="K38" s="60" t="e">
        <f t="shared" si="2"/>
        <v>#DIV/0!</v>
      </c>
      <c r="L38" s="6" t="e">
        <f t="shared" si="2"/>
        <v>#DIV/0!</v>
      </c>
      <c r="M38" s="60" t="e">
        <f t="shared" si="2"/>
        <v>#DIV/0!</v>
      </c>
      <c r="N38" s="6" t="e">
        <f t="shared" si="2"/>
        <v>#DIV/0!</v>
      </c>
      <c r="O38" s="60" t="e">
        <f t="shared" si="2"/>
        <v>#DIV/0!</v>
      </c>
      <c r="P38" s="9" t="e">
        <f t="shared" si="2"/>
        <v>#DIV/0!</v>
      </c>
    </row>
    <row r="39" spans="1:16" ht="12.75" customHeight="1" x14ac:dyDescent="0.2">
      <c r="B39" s="146" t="s">
        <v>32</v>
      </c>
      <c r="C39" s="147"/>
      <c r="D39" s="6" t="e">
        <f t="shared" si="2"/>
        <v>#DIV/0!</v>
      </c>
      <c r="E39" s="60" t="e">
        <f t="shared" si="2"/>
        <v>#DIV/0!</v>
      </c>
      <c r="F39" s="6" t="e">
        <f t="shared" si="2"/>
        <v>#DIV/0!</v>
      </c>
      <c r="G39" s="60" t="e">
        <f t="shared" si="2"/>
        <v>#DIV/0!</v>
      </c>
      <c r="H39" s="6" t="e">
        <f t="shared" si="2"/>
        <v>#DIV/0!</v>
      </c>
      <c r="I39" s="60" t="e">
        <f t="shared" si="2"/>
        <v>#DIV/0!</v>
      </c>
      <c r="J39" s="6" t="e">
        <f t="shared" si="2"/>
        <v>#DIV/0!</v>
      </c>
      <c r="K39" s="60" t="e">
        <f t="shared" si="2"/>
        <v>#DIV/0!</v>
      </c>
      <c r="L39" s="6" t="e">
        <f t="shared" si="2"/>
        <v>#DIV/0!</v>
      </c>
      <c r="M39" s="60" t="e">
        <f t="shared" si="2"/>
        <v>#DIV/0!</v>
      </c>
      <c r="N39" s="6" t="e">
        <f t="shared" si="2"/>
        <v>#DIV/0!</v>
      </c>
      <c r="O39" s="60" t="e">
        <f t="shared" si="2"/>
        <v>#DIV/0!</v>
      </c>
      <c r="P39" s="9" t="e">
        <f t="shared" si="2"/>
        <v>#DIV/0!</v>
      </c>
    </row>
    <row r="40" spans="1:16" ht="12.75" customHeight="1" thickBot="1" x14ac:dyDescent="0.25">
      <c r="B40" s="148" t="s">
        <v>33</v>
      </c>
      <c r="C40" s="149"/>
      <c r="D40" s="61" t="e">
        <f t="shared" si="2"/>
        <v>#DIV/0!</v>
      </c>
      <c r="E40" s="62" t="e">
        <f t="shared" si="2"/>
        <v>#DIV/0!</v>
      </c>
      <c r="F40" s="61" t="e">
        <f t="shared" si="2"/>
        <v>#DIV/0!</v>
      </c>
      <c r="G40" s="62" t="e">
        <f t="shared" si="2"/>
        <v>#DIV/0!</v>
      </c>
      <c r="H40" s="61" t="e">
        <f t="shared" si="2"/>
        <v>#DIV/0!</v>
      </c>
      <c r="I40" s="62" t="e">
        <f t="shared" si="2"/>
        <v>#DIV/0!</v>
      </c>
      <c r="J40" s="61" t="e">
        <f t="shared" si="2"/>
        <v>#DIV/0!</v>
      </c>
      <c r="K40" s="62" t="e">
        <f t="shared" si="2"/>
        <v>#DIV/0!</v>
      </c>
      <c r="L40" s="61" t="e">
        <f t="shared" si="2"/>
        <v>#DIV/0!</v>
      </c>
      <c r="M40" s="62" t="e">
        <f t="shared" si="2"/>
        <v>#DIV/0!</v>
      </c>
      <c r="N40" s="61" t="e">
        <f t="shared" si="2"/>
        <v>#DIV/0!</v>
      </c>
      <c r="O40" s="62" t="e">
        <f t="shared" si="2"/>
        <v>#DIV/0!</v>
      </c>
      <c r="P40" s="63" t="e">
        <f t="shared" si="2"/>
        <v>#DIV/0!</v>
      </c>
    </row>
    <row r="41" spans="1:16" ht="17.25" customHeight="1" x14ac:dyDescent="0.2">
      <c r="A41" s="150" t="s">
        <v>9</v>
      </c>
      <c r="B41" s="150"/>
      <c r="C41" s="150"/>
      <c r="D41" s="150"/>
      <c r="E41" s="150"/>
      <c r="F41" s="150"/>
      <c r="G41" s="150"/>
      <c r="H41" s="150"/>
      <c r="I41" s="150"/>
      <c r="J41" s="150"/>
      <c r="K41" s="150"/>
      <c r="L41" s="150"/>
      <c r="M41" s="150"/>
      <c r="N41" s="150"/>
      <c r="O41" s="150"/>
      <c r="P41" s="150"/>
    </row>
    <row r="42" spans="1:16" ht="12.75" x14ac:dyDescent="0.2"/>
    <row r="43" spans="1:16" ht="12.75" x14ac:dyDescent="0.2"/>
    <row r="44" spans="1:16" ht="12.75" x14ac:dyDescent="0.2"/>
    <row r="45" spans="1:16" ht="12.75" x14ac:dyDescent="0.2"/>
    <row r="46" spans="1:16" ht="12.75" x14ac:dyDescent="0.2"/>
    <row r="47" spans="1:16" ht="12.75" x14ac:dyDescent="0.2"/>
    <row r="48" spans="1:16" ht="12.75" x14ac:dyDescent="0.2"/>
    <row r="49" spans="2:16" ht="12.75" x14ac:dyDescent="0.2"/>
    <row r="50" spans="2:16" ht="12.75" x14ac:dyDescent="0.2"/>
    <row r="51" spans="2:16" ht="12.75" x14ac:dyDescent="0.2"/>
    <row r="52" spans="2:16" ht="12.75" x14ac:dyDescent="0.2">
      <c r="B52" s="136" t="s">
        <v>10</v>
      </c>
      <c r="C52" s="136"/>
      <c r="D52" s="136"/>
      <c r="E52" s="137"/>
      <c r="F52" s="137"/>
      <c r="G52" s="137"/>
      <c r="I52" s="138" t="s">
        <v>11</v>
      </c>
      <c r="J52" s="139"/>
      <c r="K52" s="139"/>
      <c r="L52" s="139"/>
      <c r="M52" s="140"/>
      <c r="N52" s="141"/>
      <c r="O52" s="142"/>
      <c r="P52" s="143"/>
    </row>
    <row r="53" spans="2:16" ht="12.75" x14ac:dyDescent="0.2"/>
    <row r="54" spans="2:16" ht="12.75" x14ac:dyDescent="0.2"/>
  </sheetData>
  <sheetProtection algorithmName="SHA-512" hashValue="JGWyHqVA9QgM86QxN+rTG+tx0tjgzwtcOimk0NVF6VGgD7vJS4Cp6DsmBl5J1SnMCGf9J3tTzS+W23HNyhuvCg==" saltValue="HXsdd+rKEMLg0UcWMtMcpQ==" spinCount="100000" sheet="1" objects="1" scenarios="1" selectLockedCells="1" autoFilter="0"/>
  <mergeCells count="47">
    <mergeCell ref="B52:D52"/>
    <mergeCell ref="E52:G52"/>
    <mergeCell ref="I52:M52"/>
    <mergeCell ref="N52:P52"/>
    <mergeCell ref="B31:C31"/>
    <mergeCell ref="B32:C32"/>
    <mergeCell ref="B33:C33"/>
    <mergeCell ref="B34:C34"/>
    <mergeCell ref="B35:C35"/>
    <mergeCell ref="B36:C36"/>
    <mergeCell ref="B37:C37"/>
    <mergeCell ref="B38:C38"/>
    <mergeCell ref="B39:C39"/>
    <mergeCell ref="B40:C40"/>
    <mergeCell ref="A41:P41"/>
    <mergeCell ref="B30:C30"/>
    <mergeCell ref="A8:E8"/>
    <mergeCell ref="F8:G8"/>
    <mergeCell ref="H8:I8"/>
    <mergeCell ref="J8:K8"/>
    <mergeCell ref="A9:P9"/>
    <mergeCell ref="D10:P10"/>
    <mergeCell ref="D25:P26"/>
    <mergeCell ref="A27:P27"/>
    <mergeCell ref="B28:C28"/>
    <mergeCell ref="L8:M8"/>
    <mergeCell ref="O8:P8"/>
    <mergeCell ref="O7:P7"/>
    <mergeCell ref="A5:D5"/>
    <mergeCell ref="F5:I5"/>
    <mergeCell ref="J5:M5"/>
    <mergeCell ref="O5:P5"/>
    <mergeCell ref="A6:D6"/>
    <mergeCell ref="F6:I6"/>
    <mergeCell ref="J6:M6"/>
    <mergeCell ref="O6:P6"/>
    <mergeCell ref="A7:E7"/>
    <mergeCell ref="F7:G7"/>
    <mergeCell ref="H7:I7"/>
    <mergeCell ref="J7:K7"/>
    <mergeCell ref="L7:M7"/>
    <mergeCell ref="A1:A3"/>
    <mergeCell ref="B1:M1"/>
    <mergeCell ref="N1:P1"/>
    <mergeCell ref="B2:M3"/>
    <mergeCell ref="N2:P2"/>
    <mergeCell ref="N3:P3"/>
  </mergeCells>
  <conditionalFormatting sqref="B25:C25">
    <cfRule type="uniqueValues" dxfId="4" priority="2"/>
  </conditionalFormatting>
  <conditionalFormatting sqref="B26:C26">
    <cfRule type="uniqueValues" dxfId="3" priority="1"/>
  </conditionalFormatting>
  <conditionalFormatting sqref="D28:P28 D31:P40">
    <cfRule type="cellIs" dxfId="2" priority="3" stopIfTrue="1" operator="between">
      <formula>$L$7</formula>
      <formula>$L$8</formula>
    </cfRule>
    <cfRule type="cellIs" dxfId="1" priority="4" stopIfTrue="1" operator="between">
      <formula>0</formula>
      <formula>$L$7</formula>
    </cfRule>
    <cfRule type="cellIs" dxfId="0" priority="5" stopIfTrue="1" operator="greaterThan">
      <formula>$L$8</formula>
    </cfRule>
  </conditionalFormatting>
  <printOptions horizontalCentered="1"/>
  <pageMargins left="0.51181102362204722" right="0.51181102362204722" top="0.39370078740157483" bottom="0.19685039370078741" header="0.31496062992125984" footer="0"/>
  <pageSetup paperSize="9" scale="79" fitToWidth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Volume pela Densidade (2)</vt:lpstr>
      <vt:lpstr>'Volume pela Densidade (2)'!Area_de_impressao</vt:lpstr>
    </vt:vector>
  </TitlesOfParts>
  <Company>OEM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pcp</dc:creator>
  <cp:lastModifiedBy>Hian Claudio</cp:lastModifiedBy>
  <cp:lastPrinted>2026-09-23T20:14:53Z</cp:lastPrinted>
  <dcterms:created xsi:type="dcterms:W3CDTF">2006-01-30T13:21:03Z</dcterms:created>
  <dcterms:modified xsi:type="dcterms:W3CDTF">2026-09-23T20:59:26Z</dcterms:modified>
</cp:coreProperties>
</file>